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Anleitung" sheetId="2" state="visible" r:id="rId2"/>
  </sheets>
  <definedNames>
    <definedName name="_xlnm._FilterDatabase" localSheetId="0" hidden="1">'Leads'!$A$1:$T$101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41B22"/>
      </patternFill>
    </fill>
    <fill>
      <patternFill patternType="solid">
        <fgColor rgb="00F1ECE3"/>
      </patternFill>
    </fill>
  </fills>
  <borders count="2">
    <border>
      <left/>
      <right/>
      <top/>
      <bottom/>
      <diagonal/>
    </border>
    <border>
      <bottom style="thin">
        <color rgb="00D9D2C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164" fontId="0" fillId="3" borderId="1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dxfs count="5">
    <dxf>
      <font>
        <b val="1"/>
        <color rgb="001E6B3A"/>
      </font>
      <fill>
        <patternFill patternType="solid">
          <fgColor rgb="00C9EBD2"/>
          <bgColor rgb="00C9EBD2"/>
        </patternFill>
      </fill>
    </dxf>
    <dxf>
      <font>
        <color rgb="007A5B00"/>
      </font>
      <fill>
        <patternFill patternType="solid">
          <fgColor rgb="00FCEFC7"/>
          <bgColor rgb="00FCEFC7"/>
        </patternFill>
      </fill>
    </dxf>
    <dxf>
      <font>
        <color rgb="00555555"/>
      </font>
      <fill>
        <patternFill patternType="solid">
          <fgColor rgb="00E6E6E6"/>
          <bgColor rgb="00E6E6E6"/>
        </patternFill>
      </fill>
    </dxf>
    <dxf>
      <font>
        <strike val="1"/>
        <color rgb="009A9A9A"/>
      </font>
    </dxf>
    <dxf>
      <font>
        <b val="1"/>
        <color rgb="00A33A1A"/>
      </font>
      <fill>
        <patternFill patternType="solid">
          <fgColor rgb="00F8CFC4"/>
          <bgColor rgb="00F8CF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28" customWidth="1" min="3" max="3"/>
    <col width="22" customWidth="1" min="4" max="4"/>
    <col width="15" customWidth="1" min="5" max="5"/>
    <col width="24" customWidth="1" min="6" max="6"/>
    <col width="10" customWidth="1" min="7" max="7"/>
    <col width="11" customWidth="1" min="8" max="8"/>
    <col width="13" customWidth="1" min="9" max="9"/>
    <col width="12" customWidth="1" min="10" max="10"/>
    <col width="11" customWidth="1" min="11" max="11"/>
    <col width="13" customWidth="1" min="12" max="12"/>
    <col width="12" customWidth="1" min="13" max="13"/>
    <col width="10" customWidth="1" min="14" max="14"/>
    <col width="10" customWidth="1" min="15" max="15"/>
    <col width="40" customWidth="1" min="16" max="16"/>
    <col width="16" customWidth="1" min="17" max="17"/>
    <col width="13" customWidth="1" min="18" max="18"/>
    <col width="13" customWidth="1" min="19" max="19"/>
    <col width="40" customWidth="1" min="20" max="20"/>
  </cols>
  <sheetData>
    <row r="1" ht="42" customHeight="1">
      <c r="A1" s="1" t="inlineStr">
        <is>
          <t>Firma</t>
        </is>
      </c>
      <c r="B1" s="1" t="inlineStr">
        <is>
          <t>Stadt</t>
        </is>
      </c>
      <c r="C1" s="1" t="inlineStr">
        <is>
          <t>Website</t>
        </is>
      </c>
      <c r="D1" s="1" t="inlineStr">
        <is>
          <t>Google-Maps-Link</t>
        </is>
      </c>
      <c r="E1" s="1" t="inlineStr">
        <is>
          <t>Telefon</t>
        </is>
      </c>
      <c r="F1" s="1" t="inlineStr">
        <is>
          <t>E-Mail</t>
        </is>
      </c>
      <c r="G1" s="1" t="inlineStr">
        <is>
          <t>Google ★</t>
        </is>
      </c>
      <c r="H1" s="1" t="inlineStr">
        <is>
          <t>Anzahl Reviews</t>
        </is>
      </c>
      <c r="I1" s="1" t="inlineStr">
        <is>
          <t>Letzte Review</t>
        </is>
      </c>
      <c r="J1" s="1" t="inlineStr">
        <is>
          <t>Mobile-Score (0-100)</t>
        </is>
      </c>
      <c r="K1" s="1" t="inlineStr">
        <is>
          <t>Click-to-Call?</t>
        </is>
      </c>
      <c r="L1" s="1" t="inlineStr">
        <is>
          <t>Anfrage-Formular / CTA?</t>
        </is>
      </c>
      <c r="M1" s="1" t="inlineStr">
        <is>
          <t>Design veraltet (1-5)</t>
        </is>
      </c>
      <c r="N1" s="1" t="inlineStr">
        <is>
          <t>Lead-Score</t>
        </is>
      </c>
      <c r="O1" s="1" t="inlineStr">
        <is>
          <t>Priorität</t>
        </is>
      </c>
      <c r="P1" s="1" t="inlineStr">
        <is>
          <t>Hauptproblem (1 Satz für die Nachricht)</t>
        </is>
      </c>
      <c r="Q1" s="1" t="inlineStr">
        <is>
          <t>Status</t>
        </is>
      </c>
      <c r="R1" s="1" t="inlineStr">
        <is>
          <t>Kontaktiert am</t>
        </is>
      </c>
      <c r="S1" s="1" t="inlineStr">
        <is>
          <t>Follow-up am</t>
        </is>
      </c>
      <c r="T1" s="1" t="inlineStr">
        <is>
          <t>Notizen / Einwände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3" t="n"/>
      <c r="J2" s="2" t="n"/>
      <c r="K2" s="2" t="n"/>
      <c r="L2" s="2" t="n"/>
      <c r="M2" s="2" t="n"/>
      <c r="N2" s="4">
        <f>IF(A2="","",IF(AND(G2&lt;&gt;"",G2&lt;4),"Ausschluss",IF(G2&gt;=4.5,2,0)+IF(H2&gt;=50,2,IF(H2&gt;=20,1,0))+IF(AND(I2&lt;&gt;"",I2&gt;=TODAY()-90),1,0)+IF(J2="",0,IF(J2&lt;50,2,IF(J2&lt;70,1,0)))+IF(K2="Nein",1,0)+IF(L2="Nein",1,0)+IF(M2="",0,IF(M2&gt;=4,2,IF(M2=3,1,0)))))</f>
        <v/>
      </c>
      <c r="O2" s="4">
        <f>IF(N2="","",IF(N2="Ausschluss","–",IF(N2&gt;=8,"A",IF(N2&gt;=5,"B","C"))))</f>
        <v/>
      </c>
      <c r="P2" s="5" t="n"/>
      <c r="Q2" s="2" t="n"/>
      <c r="R2" s="3" t="n"/>
      <c r="S2" s="6">
        <f>IF(R2="","",R2+3)</f>
        <v/>
      </c>
      <c r="T2" s="5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3" t="n"/>
      <c r="J3" s="2" t="n"/>
      <c r="K3" s="2" t="n"/>
      <c r="L3" s="2" t="n"/>
      <c r="M3" s="2" t="n"/>
      <c r="N3" s="4">
        <f>IF(A3="","",IF(AND(G3&lt;&gt;"",G3&lt;4),"Ausschluss",IF(G3&gt;=4.5,2,0)+IF(H3&gt;=50,2,IF(H3&gt;=20,1,0))+IF(AND(I3&lt;&gt;"",I3&gt;=TODAY()-90),1,0)+IF(J3="",0,IF(J3&lt;50,2,IF(J3&lt;70,1,0)))+IF(K3="Nein",1,0)+IF(L3="Nein",1,0)+IF(M3="",0,IF(M3&gt;=4,2,IF(M3=3,1,0)))))</f>
        <v/>
      </c>
      <c r="O3" s="4">
        <f>IF(N3="","",IF(N3="Ausschluss","–",IF(N3&gt;=8,"A",IF(N3&gt;=5,"B","C"))))</f>
        <v/>
      </c>
      <c r="P3" s="5" t="n"/>
      <c r="Q3" s="2" t="n"/>
      <c r="R3" s="3" t="n"/>
      <c r="S3" s="6">
        <f>IF(R3="","",R3+3)</f>
        <v/>
      </c>
      <c r="T3" s="5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3" t="n"/>
      <c r="J4" s="2" t="n"/>
      <c r="K4" s="2" t="n"/>
      <c r="L4" s="2" t="n"/>
      <c r="M4" s="2" t="n"/>
      <c r="N4" s="4">
        <f>IF(A4="","",IF(AND(G4&lt;&gt;"",G4&lt;4),"Ausschluss",IF(G4&gt;=4.5,2,0)+IF(H4&gt;=50,2,IF(H4&gt;=20,1,0))+IF(AND(I4&lt;&gt;"",I4&gt;=TODAY()-90),1,0)+IF(J4="",0,IF(J4&lt;50,2,IF(J4&lt;70,1,0)))+IF(K4="Nein",1,0)+IF(L4="Nein",1,0)+IF(M4="",0,IF(M4&gt;=4,2,IF(M4=3,1,0)))))</f>
        <v/>
      </c>
      <c r="O4" s="4">
        <f>IF(N4="","",IF(N4="Ausschluss","–",IF(N4&gt;=8,"A",IF(N4&gt;=5,"B","C"))))</f>
        <v/>
      </c>
      <c r="P4" s="5" t="n"/>
      <c r="Q4" s="2" t="n"/>
      <c r="R4" s="3" t="n"/>
      <c r="S4" s="6">
        <f>IF(R4="","",R4+3)</f>
        <v/>
      </c>
      <c r="T4" s="5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3" t="n"/>
      <c r="J5" s="2" t="n"/>
      <c r="K5" s="2" t="n"/>
      <c r="L5" s="2" t="n"/>
      <c r="M5" s="2" t="n"/>
      <c r="N5" s="4">
        <f>IF(A5="","",IF(AND(G5&lt;&gt;"",G5&lt;4),"Ausschluss",IF(G5&gt;=4.5,2,0)+IF(H5&gt;=50,2,IF(H5&gt;=20,1,0))+IF(AND(I5&lt;&gt;"",I5&gt;=TODAY()-90),1,0)+IF(J5="",0,IF(J5&lt;50,2,IF(J5&lt;70,1,0)))+IF(K5="Nein",1,0)+IF(L5="Nein",1,0)+IF(M5="",0,IF(M5&gt;=4,2,IF(M5=3,1,0)))))</f>
        <v/>
      </c>
      <c r="O5" s="4">
        <f>IF(N5="","",IF(N5="Ausschluss","–",IF(N5&gt;=8,"A",IF(N5&gt;=5,"B","C"))))</f>
        <v/>
      </c>
      <c r="P5" s="5" t="n"/>
      <c r="Q5" s="2" t="n"/>
      <c r="R5" s="3" t="n"/>
      <c r="S5" s="6">
        <f>IF(R5="","",R5+3)</f>
        <v/>
      </c>
      <c r="T5" s="5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3" t="n"/>
      <c r="J6" s="2" t="n"/>
      <c r="K6" s="2" t="n"/>
      <c r="L6" s="2" t="n"/>
      <c r="M6" s="2" t="n"/>
      <c r="N6" s="4">
        <f>IF(A6="","",IF(AND(G6&lt;&gt;"",G6&lt;4),"Ausschluss",IF(G6&gt;=4.5,2,0)+IF(H6&gt;=50,2,IF(H6&gt;=20,1,0))+IF(AND(I6&lt;&gt;"",I6&gt;=TODAY()-90),1,0)+IF(J6="",0,IF(J6&lt;50,2,IF(J6&lt;70,1,0)))+IF(K6="Nein",1,0)+IF(L6="Nein",1,0)+IF(M6="",0,IF(M6&gt;=4,2,IF(M6=3,1,0)))))</f>
        <v/>
      </c>
      <c r="O6" s="4">
        <f>IF(N6="","",IF(N6="Ausschluss","–",IF(N6&gt;=8,"A",IF(N6&gt;=5,"B","C"))))</f>
        <v/>
      </c>
      <c r="P6" s="5" t="n"/>
      <c r="Q6" s="2" t="n"/>
      <c r="R6" s="3" t="n"/>
      <c r="S6" s="6">
        <f>IF(R6="","",R6+3)</f>
        <v/>
      </c>
      <c r="T6" s="5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3" t="n"/>
      <c r="J7" s="2" t="n"/>
      <c r="K7" s="2" t="n"/>
      <c r="L7" s="2" t="n"/>
      <c r="M7" s="2" t="n"/>
      <c r="N7" s="4">
        <f>IF(A7="","",IF(AND(G7&lt;&gt;"",G7&lt;4),"Ausschluss",IF(G7&gt;=4.5,2,0)+IF(H7&gt;=50,2,IF(H7&gt;=20,1,0))+IF(AND(I7&lt;&gt;"",I7&gt;=TODAY()-90),1,0)+IF(J7="",0,IF(J7&lt;50,2,IF(J7&lt;70,1,0)))+IF(K7="Nein",1,0)+IF(L7="Nein",1,0)+IF(M7="",0,IF(M7&gt;=4,2,IF(M7=3,1,0)))))</f>
        <v/>
      </c>
      <c r="O7" s="4">
        <f>IF(N7="","",IF(N7="Ausschluss","–",IF(N7&gt;=8,"A",IF(N7&gt;=5,"B","C"))))</f>
        <v/>
      </c>
      <c r="P7" s="5" t="n"/>
      <c r="Q7" s="2" t="n"/>
      <c r="R7" s="3" t="n"/>
      <c r="S7" s="6">
        <f>IF(R7="","",R7+3)</f>
        <v/>
      </c>
      <c r="T7" s="5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3" t="n"/>
      <c r="J8" s="2" t="n"/>
      <c r="K8" s="2" t="n"/>
      <c r="L8" s="2" t="n"/>
      <c r="M8" s="2" t="n"/>
      <c r="N8" s="4">
        <f>IF(A8="","",IF(AND(G8&lt;&gt;"",G8&lt;4),"Ausschluss",IF(G8&gt;=4.5,2,0)+IF(H8&gt;=50,2,IF(H8&gt;=20,1,0))+IF(AND(I8&lt;&gt;"",I8&gt;=TODAY()-90),1,0)+IF(J8="",0,IF(J8&lt;50,2,IF(J8&lt;70,1,0)))+IF(K8="Nein",1,0)+IF(L8="Nein",1,0)+IF(M8="",0,IF(M8&gt;=4,2,IF(M8=3,1,0)))))</f>
        <v/>
      </c>
      <c r="O8" s="4">
        <f>IF(N8="","",IF(N8="Ausschluss","–",IF(N8&gt;=8,"A",IF(N8&gt;=5,"B","C"))))</f>
        <v/>
      </c>
      <c r="P8" s="5" t="n"/>
      <c r="Q8" s="2" t="n"/>
      <c r="R8" s="3" t="n"/>
      <c r="S8" s="6">
        <f>IF(R8="","",R8+3)</f>
        <v/>
      </c>
      <c r="T8" s="5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3" t="n"/>
      <c r="J9" s="2" t="n"/>
      <c r="K9" s="2" t="n"/>
      <c r="L9" s="2" t="n"/>
      <c r="M9" s="2" t="n"/>
      <c r="N9" s="4">
        <f>IF(A9="","",IF(AND(G9&lt;&gt;"",G9&lt;4),"Ausschluss",IF(G9&gt;=4.5,2,0)+IF(H9&gt;=50,2,IF(H9&gt;=20,1,0))+IF(AND(I9&lt;&gt;"",I9&gt;=TODAY()-90),1,0)+IF(J9="",0,IF(J9&lt;50,2,IF(J9&lt;70,1,0)))+IF(K9="Nein",1,0)+IF(L9="Nein",1,0)+IF(M9="",0,IF(M9&gt;=4,2,IF(M9=3,1,0)))))</f>
        <v/>
      </c>
      <c r="O9" s="4">
        <f>IF(N9="","",IF(N9="Ausschluss","–",IF(N9&gt;=8,"A",IF(N9&gt;=5,"B","C"))))</f>
        <v/>
      </c>
      <c r="P9" s="5" t="n"/>
      <c r="Q9" s="2" t="n"/>
      <c r="R9" s="3" t="n"/>
      <c r="S9" s="6">
        <f>IF(R9="","",R9+3)</f>
        <v/>
      </c>
      <c r="T9" s="5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3" t="n"/>
      <c r="J10" s="2" t="n"/>
      <c r="K10" s="2" t="n"/>
      <c r="L10" s="2" t="n"/>
      <c r="M10" s="2" t="n"/>
      <c r="N10" s="4">
        <f>IF(A10="","",IF(AND(G10&lt;&gt;"",G10&lt;4),"Ausschluss",IF(G10&gt;=4.5,2,0)+IF(H10&gt;=50,2,IF(H10&gt;=20,1,0))+IF(AND(I10&lt;&gt;"",I10&gt;=TODAY()-90),1,0)+IF(J10="",0,IF(J10&lt;50,2,IF(J10&lt;70,1,0)))+IF(K10="Nein",1,0)+IF(L10="Nein",1,0)+IF(M10="",0,IF(M10&gt;=4,2,IF(M10=3,1,0)))))</f>
        <v/>
      </c>
      <c r="O10" s="4">
        <f>IF(N10="","",IF(N10="Ausschluss","–",IF(N10&gt;=8,"A",IF(N10&gt;=5,"B","C"))))</f>
        <v/>
      </c>
      <c r="P10" s="5" t="n"/>
      <c r="Q10" s="2" t="n"/>
      <c r="R10" s="3" t="n"/>
      <c r="S10" s="6">
        <f>IF(R10="","",R10+3)</f>
        <v/>
      </c>
      <c r="T10" s="5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3" t="n"/>
      <c r="J11" s="2" t="n"/>
      <c r="K11" s="2" t="n"/>
      <c r="L11" s="2" t="n"/>
      <c r="M11" s="2" t="n"/>
      <c r="N11" s="4">
        <f>IF(A11="","",IF(AND(G11&lt;&gt;"",G11&lt;4),"Ausschluss",IF(G11&gt;=4.5,2,0)+IF(H11&gt;=50,2,IF(H11&gt;=20,1,0))+IF(AND(I11&lt;&gt;"",I11&gt;=TODAY()-90),1,0)+IF(J11="",0,IF(J11&lt;50,2,IF(J11&lt;70,1,0)))+IF(K11="Nein",1,0)+IF(L11="Nein",1,0)+IF(M11="",0,IF(M11&gt;=4,2,IF(M11=3,1,0)))))</f>
        <v/>
      </c>
      <c r="O11" s="4">
        <f>IF(N11="","",IF(N11="Ausschluss","–",IF(N11&gt;=8,"A",IF(N11&gt;=5,"B","C"))))</f>
        <v/>
      </c>
      <c r="P11" s="5" t="n"/>
      <c r="Q11" s="2" t="n"/>
      <c r="R11" s="3" t="n"/>
      <c r="S11" s="6">
        <f>IF(R11="","",R11+3)</f>
        <v/>
      </c>
      <c r="T11" s="5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3" t="n"/>
      <c r="J12" s="2" t="n"/>
      <c r="K12" s="2" t="n"/>
      <c r="L12" s="2" t="n"/>
      <c r="M12" s="2" t="n"/>
      <c r="N12" s="4">
        <f>IF(A12="","",IF(AND(G12&lt;&gt;"",G12&lt;4),"Ausschluss",IF(G12&gt;=4.5,2,0)+IF(H12&gt;=50,2,IF(H12&gt;=20,1,0))+IF(AND(I12&lt;&gt;"",I12&gt;=TODAY()-90),1,0)+IF(J12="",0,IF(J12&lt;50,2,IF(J12&lt;70,1,0)))+IF(K12="Nein",1,0)+IF(L12="Nein",1,0)+IF(M12="",0,IF(M12&gt;=4,2,IF(M12=3,1,0)))))</f>
        <v/>
      </c>
      <c r="O12" s="4">
        <f>IF(N12="","",IF(N12="Ausschluss","–",IF(N12&gt;=8,"A",IF(N12&gt;=5,"B","C"))))</f>
        <v/>
      </c>
      <c r="P12" s="5" t="n"/>
      <c r="Q12" s="2" t="n"/>
      <c r="R12" s="3" t="n"/>
      <c r="S12" s="6">
        <f>IF(R12="","",R12+3)</f>
        <v/>
      </c>
      <c r="T12" s="5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3" t="n"/>
      <c r="J13" s="2" t="n"/>
      <c r="K13" s="2" t="n"/>
      <c r="L13" s="2" t="n"/>
      <c r="M13" s="2" t="n"/>
      <c r="N13" s="4">
        <f>IF(A13="","",IF(AND(G13&lt;&gt;"",G13&lt;4),"Ausschluss",IF(G13&gt;=4.5,2,0)+IF(H13&gt;=50,2,IF(H13&gt;=20,1,0))+IF(AND(I13&lt;&gt;"",I13&gt;=TODAY()-90),1,0)+IF(J13="",0,IF(J13&lt;50,2,IF(J13&lt;70,1,0)))+IF(K13="Nein",1,0)+IF(L13="Nein",1,0)+IF(M13="",0,IF(M13&gt;=4,2,IF(M13=3,1,0)))))</f>
        <v/>
      </c>
      <c r="O13" s="4">
        <f>IF(N13="","",IF(N13="Ausschluss","–",IF(N13&gt;=8,"A",IF(N13&gt;=5,"B","C"))))</f>
        <v/>
      </c>
      <c r="P13" s="5" t="n"/>
      <c r="Q13" s="2" t="n"/>
      <c r="R13" s="3" t="n"/>
      <c r="S13" s="6">
        <f>IF(R13="","",R13+3)</f>
        <v/>
      </c>
      <c r="T13" s="5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3" t="n"/>
      <c r="J14" s="2" t="n"/>
      <c r="K14" s="2" t="n"/>
      <c r="L14" s="2" t="n"/>
      <c r="M14" s="2" t="n"/>
      <c r="N14" s="4">
        <f>IF(A14="","",IF(AND(G14&lt;&gt;"",G14&lt;4),"Ausschluss",IF(G14&gt;=4.5,2,0)+IF(H14&gt;=50,2,IF(H14&gt;=20,1,0))+IF(AND(I14&lt;&gt;"",I14&gt;=TODAY()-90),1,0)+IF(J14="",0,IF(J14&lt;50,2,IF(J14&lt;70,1,0)))+IF(K14="Nein",1,0)+IF(L14="Nein",1,0)+IF(M14="",0,IF(M14&gt;=4,2,IF(M14=3,1,0)))))</f>
        <v/>
      </c>
      <c r="O14" s="4">
        <f>IF(N14="","",IF(N14="Ausschluss","–",IF(N14&gt;=8,"A",IF(N14&gt;=5,"B","C"))))</f>
        <v/>
      </c>
      <c r="P14" s="5" t="n"/>
      <c r="Q14" s="2" t="n"/>
      <c r="R14" s="3" t="n"/>
      <c r="S14" s="6">
        <f>IF(R14="","",R14+3)</f>
        <v/>
      </c>
      <c r="T14" s="5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3" t="n"/>
      <c r="J15" s="2" t="n"/>
      <c r="K15" s="2" t="n"/>
      <c r="L15" s="2" t="n"/>
      <c r="M15" s="2" t="n"/>
      <c r="N15" s="4">
        <f>IF(A15="","",IF(AND(G15&lt;&gt;"",G15&lt;4),"Ausschluss",IF(G15&gt;=4.5,2,0)+IF(H15&gt;=50,2,IF(H15&gt;=20,1,0))+IF(AND(I15&lt;&gt;"",I15&gt;=TODAY()-90),1,0)+IF(J15="",0,IF(J15&lt;50,2,IF(J15&lt;70,1,0)))+IF(K15="Nein",1,0)+IF(L15="Nein",1,0)+IF(M15="",0,IF(M15&gt;=4,2,IF(M15=3,1,0)))))</f>
        <v/>
      </c>
      <c r="O15" s="4">
        <f>IF(N15="","",IF(N15="Ausschluss","–",IF(N15&gt;=8,"A",IF(N15&gt;=5,"B","C"))))</f>
        <v/>
      </c>
      <c r="P15" s="5" t="n"/>
      <c r="Q15" s="2" t="n"/>
      <c r="R15" s="3" t="n"/>
      <c r="S15" s="6">
        <f>IF(R15="","",R15+3)</f>
        <v/>
      </c>
      <c r="T15" s="5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3" t="n"/>
      <c r="J16" s="2" t="n"/>
      <c r="K16" s="2" t="n"/>
      <c r="L16" s="2" t="n"/>
      <c r="M16" s="2" t="n"/>
      <c r="N16" s="4">
        <f>IF(A16="","",IF(AND(G16&lt;&gt;"",G16&lt;4),"Ausschluss",IF(G16&gt;=4.5,2,0)+IF(H16&gt;=50,2,IF(H16&gt;=20,1,0))+IF(AND(I16&lt;&gt;"",I16&gt;=TODAY()-90),1,0)+IF(J16="",0,IF(J16&lt;50,2,IF(J16&lt;70,1,0)))+IF(K16="Nein",1,0)+IF(L16="Nein",1,0)+IF(M16="",0,IF(M16&gt;=4,2,IF(M16=3,1,0)))))</f>
        <v/>
      </c>
      <c r="O16" s="4">
        <f>IF(N16="","",IF(N16="Ausschluss","–",IF(N16&gt;=8,"A",IF(N16&gt;=5,"B","C"))))</f>
        <v/>
      </c>
      <c r="P16" s="5" t="n"/>
      <c r="Q16" s="2" t="n"/>
      <c r="R16" s="3" t="n"/>
      <c r="S16" s="6">
        <f>IF(R16="","",R16+3)</f>
        <v/>
      </c>
      <c r="T16" s="5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3" t="n"/>
      <c r="J17" s="2" t="n"/>
      <c r="K17" s="2" t="n"/>
      <c r="L17" s="2" t="n"/>
      <c r="M17" s="2" t="n"/>
      <c r="N17" s="4">
        <f>IF(A17="","",IF(AND(G17&lt;&gt;"",G17&lt;4),"Ausschluss",IF(G17&gt;=4.5,2,0)+IF(H17&gt;=50,2,IF(H17&gt;=20,1,0))+IF(AND(I17&lt;&gt;"",I17&gt;=TODAY()-90),1,0)+IF(J17="",0,IF(J17&lt;50,2,IF(J17&lt;70,1,0)))+IF(K17="Nein",1,0)+IF(L17="Nein",1,0)+IF(M17="",0,IF(M17&gt;=4,2,IF(M17=3,1,0)))))</f>
        <v/>
      </c>
      <c r="O17" s="4">
        <f>IF(N17="","",IF(N17="Ausschluss","–",IF(N17&gt;=8,"A",IF(N17&gt;=5,"B","C"))))</f>
        <v/>
      </c>
      <c r="P17" s="5" t="n"/>
      <c r="Q17" s="2" t="n"/>
      <c r="R17" s="3" t="n"/>
      <c r="S17" s="6">
        <f>IF(R17="","",R17+3)</f>
        <v/>
      </c>
      <c r="T17" s="5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3" t="n"/>
      <c r="J18" s="2" t="n"/>
      <c r="K18" s="2" t="n"/>
      <c r="L18" s="2" t="n"/>
      <c r="M18" s="2" t="n"/>
      <c r="N18" s="4">
        <f>IF(A18="","",IF(AND(G18&lt;&gt;"",G18&lt;4),"Ausschluss",IF(G18&gt;=4.5,2,0)+IF(H18&gt;=50,2,IF(H18&gt;=20,1,0))+IF(AND(I18&lt;&gt;"",I18&gt;=TODAY()-90),1,0)+IF(J18="",0,IF(J18&lt;50,2,IF(J18&lt;70,1,0)))+IF(K18="Nein",1,0)+IF(L18="Nein",1,0)+IF(M18="",0,IF(M18&gt;=4,2,IF(M18=3,1,0)))))</f>
        <v/>
      </c>
      <c r="O18" s="4">
        <f>IF(N18="","",IF(N18="Ausschluss","–",IF(N18&gt;=8,"A",IF(N18&gt;=5,"B","C"))))</f>
        <v/>
      </c>
      <c r="P18" s="5" t="n"/>
      <c r="Q18" s="2" t="n"/>
      <c r="R18" s="3" t="n"/>
      <c r="S18" s="6">
        <f>IF(R18="","",R18+3)</f>
        <v/>
      </c>
      <c r="T18" s="5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3" t="n"/>
      <c r="J19" s="2" t="n"/>
      <c r="K19" s="2" t="n"/>
      <c r="L19" s="2" t="n"/>
      <c r="M19" s="2" t="n"/>
      <c r="N19" s="4">
        <f>IF(A19="","",IF(AND(G19&lt;&gt;"",G19&lt;4),"Ausschluss",IF(G19&gt;=4.5,2,0)+IF(H19&gt;=50,2,IF(H19&gt;=20,1,0))+IF(AND(I19&lt;&gt;"",I19&gt;=TODAY()-90),1,0)+IF(J19="",0,IF(J19&lt;50,2,IF(J19&lt;70,1,0)))+IF(K19="Nein",1,0)+IF(L19="Nein",1,0)+IF(M19="",0,IF(M19&gt;=4,2,IF(M19=3,1,0)))))</f>
        <v/>
      </c>
      <c r="O19" s="4">
        <f>IF(N19="","",IF(N19="Ausschluss","–",IF(N19&gt;=8,"A",IF(N19&gt;=5,"B","C"))))</f>
        <v/>
      </c>
      <c r="P19" s="5" t="n"/>
      <c r="Q19" s="2" t="n"/>
      <c r="R19" s="3" t="n"/>
      <c r="S19" s="6">
        <f>IF(R19="","",R19+3)</f>
        <v/>
      </c>
      <c r="T19" s="5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3" t="n"/>
      <c r="J20" s="2" t="n"/>
      <c r="K20" s="2" t="n"/>
      <c r="L20" s="2" t="n"/>
      <c r="M20" s="2" t="n"/>
      <c r="N20" s="4">
        <f>IF(A20="","",IF(AND(G20&lt;&gt;"",G20&lt;4),"Ausschluss",IF(G20&gt;=4.5,2,0)+IF(H20&gt;=50,2,IF(H20&gt;=20,1,0))+IF(AND(I20&lt;&gt;"",I20&gt;=TODAY()-90),1,0)+IF(J20="",0,IF(J20&lt;50,2,IF(J20&lt;70,1,0)))+IF(K20="Nein",1,0)+IF(L20="Nein",1,0)+IF(M20="",0,IF(M20&gt;=4,2,IF(M20=3,1,0)))))</f>
        <v/>
      </c>
      <c r="O20" s="4">
        <f>IF(N20="","",IF(N20="Ausschluss","–",IF(N20&gt;=8,"A",IF(N20&gt;=5,"B","C"))))</f>
        <v/>
      </c>
      <c r="P20" s="5" t="n"/>
      <c r="Q20" s="2" t="n"/>
      <c r="R20" s="3" t="n"/>
      <c r="S20" s="6">
        <f>IF(R20="","",R20+3)</f>
        <v/>
      </c>
      <c r="T20" s="5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3" t="n"/>
      <c r="J21" s="2" t="n"/>
      <c r="K21" s="2" t="n"/>
      <c r="L21" s="2" t="n"/>
      <c r="M21" s="2" t="n"/>
      <c r="N21" s="4">
        <f>IF(A21="","",IF(AND(G21&lt;&gt;"",G21&lt;4),"Ausschluss",IF(G21&gt;=4.5,2,0)+IF(H21&gt;=50,2,IF(H21&gt;=20,1,0))+IF(AND(I21&lt;&gt;"",I21&gt;=TODAY()-90),1,0)+IF(J21="",0,IF(J21&lt;50,2,IF(J21&lt;70,1,0)))+IF(K21="Nein",1,0)+IF(L21="Nein",1,0)+IF(M21="",0,IF(M21&gt;=4,2,IF(M21=3,1,0)))))</f>
        <v/>
      </c>
      <c r="O21" s="4">
        <f>IF(N21="","",IF(N21="Ausschluss","–",IF(N21&gt;=8,"A",IF(N21&gt;=5,"B","C"))))</f>
        <v/>
      </c>
      <c r="P21" s="5" t="n"/>
      <c r="Q21" s="2" t="n"/>
      <c r="R21" s="3" t="n"/>
      <c r="S21" s="6">
        <f>IF(R21="","",R21+3)</f>
        <v/>
      </c>
      <c r="T21" s="5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3" t="n"/>
      <c r="J22" s="2" t="n"/>
      <c r="K22" s="2" t="n"/>
      <c r="L22" s="2" t="n"/>
      <c r="M22" s="2" t="n"/>
      <c r="N22" s="4">
        <f>IF(A22="","",IF(AND(G22&lt;&gt;"",G22&lt;4),"Ausschluss",IF(G22&gt;=4.5,2,0)+IF(H22&gt;=50,2,IF(H22&gt;=20,1,0))+IF(AND(I22&lt;&gt;"",I22&gt;=TODAY()-90),1,0)+IF(J22="",0,IF(J22&lt;50,2,IF(J22&lt;70,1,0)))+IF(K22="Nein",1,0)+IF(L22="Nein",1,0)+IF(M22="",0,IF(M22&gt;=4,2,IF(M22=3,1,0)))))</f>
        <v/>
      </c>
      <c r="O22" s="4">
        <f>IF(N22="","",IF(N22="Ausschluss","–",IF(N22&gt;=8,"A",IF(N22&gt;=5,"B","C"))))</f>
        <v/>
      </c>
      <c r="P22" s="5" t="n"/>
      <c r="Q22" s="2" t="n"/>
      <c r="R22" s="3" t="n"/>
      <c r="S22" s="6">
        <f>IF(R22="","",R22+3)</f>
        <v/>
      </c>
      <c r="T22" s="5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3" t="n"/>
      <c r="J23" s="2" t="n"/>
      <c r="K23" s="2" t="n"/>
      <c r="L23" s="2" t="n"/>
      <c r="M23" s="2" t="n"/>
      <c r="N23" s="4">
        <f>IF(A23="","",IF(AND(G23&lt;&gt;"",G23&lt;4),"Ausschluss",IF(G23&gt;=4.5,2,0)+IF(H23&gt;=50,2,IF(H23&gt;=20,1,0))+IF(AND(I23&lt;&gt;"",I23&gt;=TODAY()-90),1,0)+IF(J23="",0,IF(J23&lt;50,2,IF(J23&lt;70,1,0)))+IF(K23="Nein",1,0)+IF(L23="Nein",1,0)+IF(M23="",0,IF(M23&gt;=4,2,IF(M23=3,1,0)))))</f>
        <v/>
      </c>
      <c r="O23" s="4">
        <f>IF(N23="","",IF(N23="Ausschluss","–",IF(N23&gt;=8,"A",IF(N23&gt;=5,"B","C"))))</f>
        <v/>
      </c>
      <c r="P23" s="5" t="n"/>
      <c r="Q23" s="2" t="n"/>
      <c r="R23" s="3" t="n"/>
      <c r="S23" s="6">
        <f>IF(R23="","",R23+3)</f>
        <v/>
      </c>
      <c r="T23" s="5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3" t="n"/>
      <c r="J24" s="2" t="n"/>
      <c r="K24" s="2" t="n"/>
      <c r="L24" s="2" t="n"/>
      <c r="M24" s="2" t="n"/>
      <c r="N24" s="4">
        <f>IF(A24="","",IF(AND(G24&lt;&gt;"",G24&lt;4),"Ausschluss",IF(G24&gt;=4.5,2,0)+IF(H24&gt;=50,2,IF(H24&gt;=20,1,0))+IF(AND(I24&lt;&gt;"",I24&gt;=TODAY()-90),1,0)+IF(J24="",0,IF(J24&lt;50,2,IF(J24&lt;70,1,0)))+IF(K24="Nein",1,0)+IF(L24="Nein",1,0)+IF(M24="",0,IF(M24&gt;=4,2,IF(M24=3,1,0)))))</f>
        <v/>
      </c>
      <c r="O24" s="4">
        <f>IF(N24="","",IF(N24="Ausschluss","–",IF(N24&gt;=8,"A",IF(N24&gt;=5,"B","C"))))</f>
        <v/>
      </c>
      <c r="P24" s="5" t="n"/>
      <c r="Q24" s="2" t="n"/>
      <c r="R24" s="3" t="n"/>
      <c r="S24" s="6">
        <f>IF(R24="","",R24+3)</f>
        <v/>
      </c>
      <c r="T24" s="5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3" t="n"/>
      <c r="J25" s="2" t="n"/>
      <c r="K25" s="2" t="n"/>
      <c r="L25" s="2" t="n"/>
      <c r="M25" s="2" t="n"/>
      <c r="N25" s="4">
        <f>IF(A25="","",IF(AND(G25&lt;&gt;"",G25&lt;4),"Ausschluss",IF(G25&gt;=4.5,2,0)+IF(H25&gt;=50,2,IF(H25&gt;=20,1,0))+IF(AND(I25&lt;&gt;"",I25&gt;=TODAY()-90),1,0)+IF(J25="",0,IF(J25&lt;50,2,IF(J25&lt;70,1,0)))+IF(K25="Nein",1,0)+IF(L25="Nein",1,0)+IF(M25="",0,IF(M25&gt;=4,2,IF(M25=3,1,0)))))</f>
        <v/>
      </c>
      <c r="O25" s="4">
        <f>IF(N25="","",IF(N25="Ausschluss","–",IF(N25&gt;=8,"A",IF(N25&gt;=5,"B","C"))))</f>
        <v/>
      </c>
      <c r="P25" s="5" t="n"/>
      <c r="Q25" s="2" t="n"/>
      <c r="R25" s="3" t="n"/>
      <c r="S25" s="6">
        <f>IF(R25="","",R25+3)</f>
        <v/>
      </c>
      <c r="T25" s="5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3" t="n"/>
      <c r="J26" s="2" t="n"/>
      <c r="K26" s="2" t="n"/>
      <c r="L26" s="2" t="n"/>
      <c r="M26" s="2" t="n"/>
      <c r="N26" s="4">
        <f>IF(A26="","",IF(AND(G26&lt;&gt;"",G26&lt;4),"Ausschluss",IF(G26&gt;=4.5,2,0)+IF(H26&gt;=50,2,IF(H26&gt;=20,1,0))+IF(AND(I26&lt;&gt;"",I26&gt;=TODAY()-90),1,0)+IF(J26="",0,IF(J26&lt;50,2,IF(J26&lt;70,1,0)))+IF(K26="Nein",1,0)+IF(L26="Nein",1,0)+IF(M26="",0,IF(M26&gt;=4,2,IF(M26=3,1,0)))))</f>
        <v/>
      </c>
      <c r="O26" s="4">
        <f>IF(N26="","",IF(N26="Ausschluss","–",IF(N26&gt;=8,"A",IF(N26&gt;=5,"B","C"))))</f>
        <v/>
      </c>
      <c r="P26" s="5" t="n"/>
      <c r="Q26" s="2" t="n"/>
      <c r="R26" s="3" t="n"/>
      <c r="S26" s="6">
        <f>IF(R26="","",R26+3)</f>
        <v/>
      </c>
      <c r="T26" s="5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3" t="n"/>
      <c r="J27" s="2" t="n"/>
      <c r="K27" s="2" t="n"/>
      <c r="L27" s="2" t="n"/>
      <c r="M27" s="2" t="n"/>
      <c r="N27" s="4">
        <f>IF(A27="","",IF(AND(G27&lt;&gt;"",G27&lt;4),"Ausschluss",IF(G27&gt;=4.5,2,0)+IF(H27&gt;=50,2,IF(H27&gt;=20,1,0))+IF(AND(I27&lt;&gt;"",I27&gt;=TODAY()-90),1,0)+IF(J27="",0,IF(J27&lt;50,2,IF(J27&lt;70,1,0)))+IF(K27="Nein",1,0)+IF(L27="Nein",1,0)+IF(M27="",0,IF(M27&gt;=4,2,IF(M27=3,1,0)))))</f>
        <v/>
      </c>
      <c r="O27" s="4">
        <f>IF(N27="","",IF(N27="Ausschluss","–",IF(N27&gt;=8,"A",IF(N27&gt;=5,"B","C"))))</f>
        <v/>
      </c>
      <c r="P27" s="5" t="n"/>
      <c r="Q27" s="2" t="n"/>
      <c r="R27" s="3" t="n"/>
      <c r="S27" s="6">
        <f>IF(R27="","",R27+3)</f>
        <v/>
      </c>
      <c r="T27" s="5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3" t="n"/>
      <c r="J28" s="2" t="n"/>
      <c r="K28" s="2" t="n"/>
      <c r="L28" s="2" t="n"/>
      <c r="M28" s="2" t="n"/>
      <c r="N28" s="4">
        <f>IF(A28="","",IF(AND(G28&lt;&gt;"",G28&lt;4),"Ausschluss",IF(G28&gt;=4.5,2,0)+IF(H28&gt;=50,2,IF(H28&gt;=20,1,0))+IF(AND(I28&lt;&gt;"",I28&gt;=TODAY()-90),1,0)+IF(J28="",0,IF(J28&lt;50,2,IF(J28&lt;70,1,0)))+IF(K28="Nein",1,0)+IF(L28="Nein",1,0)+IF(M28="",0,IF(M28&gt;=4,2,IF(M28=3,1,0)))))</f>
        <v/>
      </c>
      <c r="O28" s="4">
        <f>IF(N28="","",IF(N28="Ausschluss","–",IF(N28&gt;=8,"A",IF(N28&gt;=5,"B","C"))))</f>
        <v/>
      </c>
      <c r="P28" s="5" t="n"/>
      <c r="Q28" s="2" t="n"/>
      <c r="R28" s="3" t="n"/>
      <c r="S28" s="6">
        <f>IF(R28="","",R28+3)</f>
        <v/>
      </c>
      <c r="T28" s="5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3" t="n"/>
      <c r="J29" s="2" t="n"/>
      <c r="K29" s="2" t="n"/>
      <c r="L29" s="2" t="n"/>
      <c r="M29" s="2" t="n"/>
      <c r="N29" s="4">
        <f>IF(A29="","",IF(AND(G29&lt;&gt;"",G29&lt;4),"Ausschluss",IF(G29&gt;=4.5,2,0)+IF(H29&gt;=50,2,IF(H29&gt;=20,1,0))+IF(AND(I29&lt;&gt;"",I29&gt;=TODAY()-90),1,0)+IF(J29="",0,IF(J29&lt;50,2,IF(J29&lt;70,1,0)))+IF(K29="Nein",1,0)+IF(L29="Nein",1,0)+IF(M29="",0,IF(M29&gt;=4,2,IF(M29=3,1,0)))))</f>
        <v/>
      </c>
      <c r="O29" s="4">
        <f>IF(N29="","",IF(N29="Ausschluss","–",IF(N29&gt;=8,"A",IF(N29&gt;=5,"B","C"))))</f>
        <v/>
      </c>
      <c r="P29" s="5" t="n"/>
      <c r="Q29" s="2" t="n"/>
      <c r="R29" s="3" t="n"/>
      <c r="S29" s="6">
        <f>IF(R29="","",R29+3)</f>
        <v/>
      </c>
      <c r="T29" s="5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3" t="n"/>
      <c r="J30" s="2" t="n"/>
      <c r="K30" s="2" t="n"/>
      <c r="L30" s="2" t="n"/>
      <c r="M30" s="2" t="n"/>
      <c r="N30" s="4">
        <f>IF(A30="","",IF(AND(G30&lt;&gt;"",G30&lt;4),"Ausschluss",IF(G30&gt;=4.5,2,0)+IF(H30&gt;=50,2,IF(H30&gt;=20,1,0))+IF(AND(I30&lt;&gt;"",I30&gt;=TODAY()-90),1,0)+IF(J30="",0,IF(J30&lt;50,2,IF(J30&lt;70,1,0)))+IF(K30="Nein",1,0)+IF(L30="Nein",1,0)+IF(M30="",0,IF(M30&gt;=4,2,IF(M30=3,1,0)))))</f>
        <v/>
      </c>
      <c r="O30" s="4">
        <f>IF(N30="","",IF(N30="Ausschluss","–",IF(N30&gt;=8,"A",IF(N30&gt;=5,"B","C"))))</f>
        <v/>
      </c>
      <c r="P30" s="5" t="n"/>
      <c r="Q30" s="2" t="n"/>
      <c r="R30" s="3" t="n"/>
      <c r="S30" s="6">
        <f>IF(R30="","",R30+3)</f>
        <v/>
      </c>
      <c r="T30" s="5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3" t="n"/>
      <c r="J31" s="2" t="n"/>
      <c r="K31" s="2" t="n"/>
      <c r="L31" s="2" t="n"/>
      <c r="M31" s="2" t="n"/>
      <c r="N31" s="4">
        <f>IF(A31="","",IF(AND(G31&lt;&gt;"",G31&lt;4),"Ausschluss",IF(G31&gt;=4.5,2,0)+IF(H31&gt;=50,2,IF(H31&gt;=20,1,0))+IF(AND(I31&lt;&gt;"",I31&gt;=TODAY()-90),1,0)+IF(J31="",0,IF(J31&lt;50,2,IF(J31&lt;70,1,0)))+IF(K31="Nein",1,0)+IF(L31="Nein",1,0)+IF(M31="",0,IF(M31&gt;=4,2,IF(M31=3,1,0)))))</f>
        <v/>
      </c>
      <c r="O31" s="4">
        <f>IF(N31="","",IF(N31="Ausschluss","–",IF(N31&gt;=8,"A",IF(N31&gt;=5,"B","C"))))</f>
        <v/>
      </c>
      <c r="P31" s="5" t="n"/>
      <c r="Q31" s="2" t="n"/>
      <c r="R31" s="3" t="n"/>
      <c r="S31" s="6">
        <f>IF(R31="","",R31+3)</f>
        <v/>
      </c>
      <c r="T31" s="5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3" t="n"/>
      <c r="J32" s="2" t="n"/>
      <c r="K32" s="2" t="n"/>
      <c r="L32" s="2" t="n"/>
      <c r="M32" s="2" t="n"/>
      <c r="N32" s="4">
        <f>IF(A32="","",IF(AND(G32&lt;&gt;"",G32&lt;4),"Ausschluss",IF(G32&gt;=4.5,2,0)+IF(H32&gt;=50,2,IF(H32&gt;=20,1,0))+IF(AND(I32&lt;&gt;"",I32&gt;=TODAY()-90),1,0)+IF(J32="",0,IF(J32&lt;50,2,IF(J32&lt;70,1,0)))+IF(K32="Nein",1,0)+IF(L32="Nein",1,0)+IF(M32="",0,IF(M32&gt;=4,2,IF(M32=3,1,0)))))</f>
        <v/>
      </c>
      <c r="O32" s="4">
        <f>IF(N32="","",IF(N32="Ausschluss","–",IF(N32&gt;=8,"A",IF(N32&gt;=5,"B","C"))))</f>
        <v/>
      </c>
      <c r="P32" s="5" t="n"/>
      <c r="Q32" s="2" t="n"/>
      <c r="R32" s="3" t="n"/>
      <c r="S32" s="6">
        <f>IF(R32="","",R32+3)</f>
        <v/>
      </c>
      <c r="T32" s="5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3" t="n"/>
      <c r="J33" s="2" t="n"/>
      <c r="K33" s="2" t="n"/>
      <c r="L33" s="2" t="n"/>
      <c r="M33" s="2" t="n"/>
      <c r="N33" s="4">
        <f>IF(A33="","",IF(AND(G33&lt;&gt;"",G33&lt;4),"Ausschluss",IF(G33&gt;=4.5,2,0)+IF(H33&gt;=50,2,IF(H33&gt;=20,1,0))+IF(AND(I33&lt;&gt;"",I33&gt;=TODAY()-90),1,0)+IF(J33="",0,IF(J33&lt;50,2,IF(J33&lt;70,1,0)))+IF(K33="Nein",1,0)+IF(L33="Nein",1,0)+IF(M33="",0,IF(M33&gt;=4,2,IF(M33=3,1,0)))))</f>
        <v/>
      </c>
      <c r="O33" s="4">
        <f>IF(N33="","",IF(N33="Ausschluss","–",IF(N33&gt;=8,"A",IF(N33&gt;=5,"B","C"))))</f>
        <v/>
      </c>
      <c r="P33" s="5" t="n"/>
      <c r="Q33" s="2" t="n"/>
      <c r="R33" s="3" t="n"/>
      <c r="S33" s="6">
        <f>IF(R33="","",R33+3)</f>
        <v/>
      </c>
      <c r="T33" s="5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3" t="n"/>
      <c r="J34" s="2" t="n"/>
      <c r="K34" s="2" t="n"/>
      <c r="L34" s="2" t="n"/>
      <c r="M34" s="2" t="n"/>
      <c r="N34" s="4">
        <f>IF(A34="","",IF(AND(G34&lt;&gt;"",G34&lt;4),"Ausschluss",IF(G34&gt;=4.5,2,0)+IF(H34&gt;=50,2,IF(H34&gt;=20,1,0))+IF(AND(I34&lt;&gt;"",I34&gt;=TODAY()-90),1,0)+IF(J34="",0,IF(J34&lt;50,2,IF(J34&lt;70,1,0)))+IF(K34="Nein",1,0)+IF(L34="Nein",1,0)+IF(M34="",0,IF(M34&gt;=4,2,IF(M34=3,1,0)))))</f>
        <v/>
      </c>
      <c r="O34" s="4">
        <f>IF(N34="","",IF(N34="Ausschluss","–",IF(N34&gt;=8,"A",IF(N34&gt;=5,"B","C"))))</f>
        <v/>
      </c>
      <c r="P34" s="5" t="n"/>
      <c r="Q34" s="2" t="n"/>
      <c r="R34" s="3" t="n"/>
      <c r="S34" s="6">
        <f>IF(R34="","",R34+3)</f>
        <v/>
      </c>
      <c r="T34" s="5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3" t="n"/>
      <c r="J35" s="2" t="n"/>
      <c r="K35" s="2" t="n"/>
      <c r="L35" s="2" t="n"/>
      <c r="M35" s="2" t="n"/>
      <c r="N35" s="4">
        <f>IF(A35="","",IF(AND(G35&lt;&gt;"",G35&lt;4),"Ausschluss",IF(G35&gt;=4.5,2,0)+IF(H35&gt;=50,2,IF(H35&gt;=20,1,0))+IF(AND(I35&lt;&gt;"",I35&gt;=TODAY()-90),1,0)+IF(J35="",0,IF(J35&lt;50,2,IF(J35&lt;70,1,0)))+IF(K35="Nein",1,0)+IF(L35="Nein",1,0)+IF(M35="",0,IF(M35&gt;=4,2,IF(M35=3,1,0)))))</f>
        <v/>
      </c>
      <c r="O35" s="4">
        <f>IF(N35="","",IF(N35="Ausschluss","–",IF(N35&gt;=8,"A",IF(N35&gt;=5,"B","C"))))</f>
        <v/>
      </c>
      <c r="P35" s="5" t="n"/>
      <c r="Q35" s="2" t="n"/>
      <c r="R35" s="3" t="n"/>
      <c r="S35" s="6">
        <f>IF(R35="","",R35+3)</f>
        <v/>
      </c>
      <c r="T35" s="5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3" t="n"/>
      <c r="J36" s="2" t="n"/>
      <c r="K36" s="2" t="n"/>
      <c r="L36" s="2" t="n"/>
      <c r="M36" s="2" t="n"/>
      <c r="N36" s="4">
        <f>IF(A36="","",IF(AND(G36&lt;&gt;"",G36&lt;4),"Ausschluss",IF(G36&gt;=4.5,2,0)+IF(H36&gt;=50,2,IF(H36&gt;=20,1,0))+IF(AND(I36&lt;&gt;"",I36&gt;=TODAY()-90),1,0)+IF(J36="",0,IF(J36&lt;50,2,IF(J36&lt;70,1,0)))+IF(K36="Nein",1,0)+IF(L36="Nein",1,0)+IF(M36="",0,IF(M36&gt;=4,2,IF(M36=3,1,0)))))</f>
        <v/>
      </c>
      <c r="O36" s="4">
        <f>IF(N36="","",IF(N36="Ausschluss","–",IF(N36&gt;=8,"A",IF(N36&gt;=5,"B","C"))))</f>
        <v/>
      </c>
      <c r="P36" s="5" t="n"/>
      <c r="Q36" s="2" t="n"/>
      <c r="R36" s="3" t="n"/>
      <c r="S36" s="6">
        <f>IF(R36="","",R36+3)</f>
        <v/>
      </c>
      <c r="T36" s="5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3" t="n"/>
      <c r="J37" s="2" t="n"/>
      <c r="K37" s="2" t="n"/>
      <c r="L37" s="2" t="n"/>
      <c r="M37" s="2" t="n"/>
      <c r="N37" s="4">
        <f>IF(A37="","",IF(AND(G37&lt;&gt;"",G37&lt;4),"Ausschluss",IF(G37&gt;=4.5,2,0)+IF(H37&gt;=50,2,IF(H37&gt;=20,1,0))+IF(AND(I37&lt;&gt;"",I37&gt;=TODAY()-90),1,0)+IF(J37="",0,IF(J37&lt;50,2,IF(J37&lt;70,1,0)))+IF(K37="Nein",1,0)+IF(L37="Nein",1,0)+IF(M37="",0,IF(M37&gt;=4,2,IF(M37=3,1,0)))))</f>
        <v/>
      </c>
      <c r="O37" s="4">
        <f>IF(N37="","",IF(N37="Ausschluss","–",IF(N37&gt;=8,"A",IF(N37&gt;=5,"B","C"))))</f>
        <v/>
      </c>
      <c r="P37" s="5" t="n"/>
      <c r="Q37" s="2" t="n"/>
      <c r="R37" s="3" t="n"/>
      <c r="S37" s="6">
        <f>IF(R37="","",R37+3)</f>
        <v/>
      </c>
      <c r="T37" s="5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3" t="n"/>
      <c r="J38" s="2" t="n"/>
      <c r="K38" s="2" t="n"/>
      <c r="L38" s="2" t="n"/>
      <c r="M38" s="2" t="n"/>
      <c r="N38" s="4">
        <f>IF(A38="","",IF(AND(G38&lt;&gt;"",G38&lt;4),"Ausschluss",IF(G38&gt;=4.5,2,0)+IF(H38&gt;=50,2,IF(H38&gt;=20,1,0))+IF(AND(I38&lt;&gt;"",I38&gt;=TODAY()-90),1,0)+IF(J38="",0,IF(J38&lt;50,2,IF(J38&lt;70,1,0)))+IF(K38="Nein",1,0)+IF(L38="Nein",1,0)+IF(M38="",0,IF(M38&gt;=4,2,IF(M38=3,1,0)))))</f>
        <v/>
      </c>
      <c r="O38" s="4">
        <f>IF(N38="","",IF(N38="Ausschluss","–",IF(N38&gt;=8,"A",IF(N38&gt;=5,"B","C"))))</f>
        <v/>
      </c>
      <c r="P38" s="5" t="n"/>
      <c r="Q38" s="2" t="n"/>
      <c r="R38" s="3" t="n"/>
      <c r="S38" s="6">
        <f>IF(R38="","",R38+3)</f>
        <v/>
      </c>
      <c r="T38" s="5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3" t="n"/>
      <c r="J39" s="2" t="n"/>
      <c r="K39" s="2" t="n"/>
      <c r="L39" s="2" t="n"/>
      <c r="M39" s="2" t="n"/>
      <c r="N39" s="4">
        <f>IF(A39="","",IF(AND(G39&lt;&gt;"",G39&lt;4),"Ausschluss",IF(G39&gt;=4.5,2,0)+IF(H39&gt;=50,2,IF(H39&gt;=20,1,0))+IF(AND(I39&lt;&gt;"",I39&gt;=TODAY()-90),1,0)+IF(J39="",0,IF(J39&lt;50,2,IF(J39&lt;70,1,0)))+IF(K39="Nein",1,0)+IF(L39="Nein",1,0)+IF(M39="",0,IF(M39&gt;=4,2,IF(M39=3,1,0)))))</f>
        <v/>
      </c>
      <c r="O39" s="4">
        <f>IF(N39="","",IF(N39="Ausschluss","–",IF(N39&gt;=8,"A",IF(N39&gt;=5,"B","C"))))</f>
        <v/>
      </c>
      <c r="P39" s="5" t="n"/>
      <c r="Q39" s="2" t="n"/>
      <c r="R39" s="3" t="n"/>
      <c r="S39" s="6">
        <f>IF(R39="","",R39+3)</f>
        <v/>
      </c>
      <c r="T39" s="5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3" t="n"/>
      <c r="J40" s="2" t="n"/>
      <c r="K40" s="2" t="n"/>
      <c r="L40" s="2" t="n"/>
      <c r="M40" s="2" t="n"/>
      <c r="N40" s="4">
        <f>IF(A40="","",IF(AND(G40&lt;&gt;"",G40&lt;4),"Ausschluss",IF(G40&gt;=4.5,2,0)+IF(H40&gt;=50,2,IF(H40&gt;=20,1,0))+IF(AND(I40&lt;&gt;"",I40&gt;=TODAY()-90),1,0)+IF(J40="",0,IF(J40&lt;50,2,IF(J40&lt;70,1,0)))+IF(K40="Nein",1,0)+IF(L40="Nein",1,0)+IF(M40="",0,IF(M40&gt;=4,2,IF(M40=3,1,0)))))</f>
        <v/>
      </c>
      <c r="O40" s="4">
        <f>IF(N40="","",IF(N40="Ausschluss","–",IF(N40&gt;=8,"A",IF(N40&gt;=5,"B","C"))))</f>
        <v/>
      </c>
      <c r="P40" s="5" t="n"/>
      <c r="Q40" s="2" t="n"/>
      <c r="R40" s="3" t="n"/>
      <c r="S40" s="6">
        <f>IF(R40="","",R40+3)</f>
        <v/>
      </c>
      <c r="T40" s="5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3" t="n"/>
      <c r="J41" s="2" t="n"/>
      <c r="K41" s="2" t="n"/>
      <c r="L41" s="2" t="n"/>
      <c r="M41" s="2" t="n"/>
      <c r="N41" s="4">
        <f>IF(A41="","",IF(AND(G41&lt;&gt;"",G41&lt;4),"Ausschluss",IF(G41&gt;=4.5,2,0)+IF(H41&gt;=50,2,IF(H41&gt;=20,1,0))+IF(AND(I41&lt;&gt;"",I41&gt;=TODAY()-90),1,0)+IF(J41="",0,IF(J41&lt;50,2,IF(J41&lt;70,1,0)))+IF(K41="Nein",1,0)+IF(L41="Nein",1,0)+IF(M41="",0,IF(M41&gt;=4,2,IF(M41=3,1,0)))))</f>
        <v/>
      </c>
      <c r="O41" s="4">
        <f>IF(N41="","",IF(N41="Ausschluss","–",IF(N41&gt;=8,"A",IF(N41&gt;=5,"B","C"))))</f>
        <v/>
      </c>
      <c r="P41" s="5" t="n"/>
      <c r="Q41" s="2" t="n"/>
      <c r="R41" s="3" t="n"/>
      <c r="S41" s="6">
        <f>IF(R41="","",R41+3)</f>
        <v/>
      </c>
      <c r="T41" s="5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3" t="n"/>
      <c r="J42" s="2" t="n"/>
      <c r="K42" s="2" t="n"/>
      <c r="L42" s="2" t="n"/>
      <c r="M42" s="2" t="n"/>
      <c r="N42" s="4">
        <f>IF(A42="","",IF(AND(G42&lt;&gt;"",G42&lt;4),"Ausschluss",IF(G42&gt;=4.5,2,0)+IF(H42&gt;=50,2,IF(H42&gt;=20,1,0))+IF(AND(I42&lt;&gt;"",I42&gt;=TODAY()-90),1,0)+IF(J42="",0,IF(J42&lt;50,2,IF(J42&lt;70,1,0)))+IF(K42="Nein",1,0)+IF(L42="Nein",1,0)+IF(M42="",0,IF(M42&gt;=4,2,IF(M42=3,1,0)))))</f>
        <v/>
      </c>
      <c r="O42" s="4">
        <f>IF(N42="","",IF(N42="Ausschluss","–",IF(N42&gt;=8,"A",IF(N42&gt;=5,"B","C"))))</f>
        <v/>
      </c>
      <c r="P42" s="5" t="n"/>
      <c r="Q42" s="2" t="n"/>
      <c r="R42" s="3" t="n"/>
      <c r="S42" s="6">
        <f>IF(R42="","",R42+3)</f>
        <v/>
      </c>
      <c r="T42" s="5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3" t="n"/>
      <c r="J43" s="2" t="n"/>
      <c r="K43" s="2" t="n"/>
      <c r="L43" s="2" t="n"/>
      <c r="M43" s="2" t="n"/>
      <c r="N43" s="4">
        <f>IF(A43="","",IF(AND(G43&lt;&gt;"",G43&lt;4),"Ausschluss",IF(G43&gt;=4.5,2,0)+IF(H43&gt;=50,2,IF(H43&gt;=20,1,0))+IF(AND(I43&lt;&gt;"",I43&gt;=TODAY()-90),1,0)+IF(J43="",0,IF(J43&lt;50,2,IF(J43&lt;70,1,0)))+IF(K43="Nein",1,0)+IF(L43="Nein",1,0)+IF(M43="",0,IF(M43&gt;=4,2,IF(M43=3,1,0)))))</f>
        <v/>
      </c>
      <c r="O43" s="4">
        <f>IF(N43="","",IF(N43="Ausschluss","–",IF(N43&gt;=8,"A",IF(N43&gt;=5,"B","C"))))</f>
        <v/>
      </c>
      <c r="P43" s="5" t="n"/>
      <c r="Q43" s="2" t="n"/>
      <c r="R43" s="3" t="n"/>
      <c r="S43" s="6">
        <f>IF(R43="","",R43+3)</f>
        <v/>
      </c>
      <c r="T43" s="5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3" t="n"/>
      <c r="J44" s="2" t="n"/>
      <c r="K44" s="2" t="n"/>
      <c r="L44" s="2" t="n"/>
      <c r="M44" s="2" t="n"/>
      <c r="N44" s="4">
        <f>IF(A44="","",IF(AND(G44&lt;&gt;"",G44&lt;4),"Ausschluss",IF(G44&gt;=4.5,2,0)+IF(H44&gt;=50,2,IF(H44&gt;=20,1,0))+IF(AND(I44&lt;&gt;"",I44&gt;=TODAY()-90),1,0)+IF(J44="",0,IF(J44&lt;50,2,IF(J44&lt;70,1,0)))+IF(K44="Nein",1,0)+IF(L44="Nein",1,0)+IF(M44="",0,IF(M44&gt;=4,2,IF(M44=3,1,0)))))</f>
        <v/>
      </c>
      <c r="O44" s="4">
        <f>IF(N44="","",IF(N44="Ausschluss","–",IF(N44&gt;=8,"A",IF(N44&gt;=5,"B","C"))))</f>
        <v/>
      </c>
      <c r="P44" s="5" t="n"/>
      <c r="Q44" s="2" t="n"/>
      <c r="R44" s="3" t="n"/>
      <c r="S44" s="6">
        <f>IF(R44="","",R44+3)</f>
        <v/>
      </c>
      <c r="T44" s="5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3" t="n"/>
      <c r="J45" s="2" t="n"/>
      <c r="K45" s="2" t="n"/>
      <c r="L45" s="2" t="n"/>
      <c r="M45" s="2" t="n"/>
      <c r="N45" s="4">
        <f>IF(A45="","",IF(AND(G45&lt;&gt;"",G45&lt;4),"Ausschluss",IF(G45&gt;=4.5,2,0)+IF(H45&gt;=50,2,IF(H45&gt;=20,1,0))+IF(AND(I45&lt;&gt;"",I45&gt;=TODAY()-90),1,0)+IF(J45="",0,IF(J45&lt;50,2,IF(J45&lt;70,1,0)))+IF(K45="Nein",1,0)+IF(L45="Nein",1,0)+IF(M45="",0,IF(M45&gt;=4,2,IF(M45=3,1,0)))))</f>
        <v/>
      </c>
      <c r="O45" s="4">
        <f>IF(N45="","",IF(N45="Ausschluss","–",IF(N45&gt;=8,"A",IF(N45&gt;=5,"B","C"))))</f>
        <v/>
      </c>
      <c r="P45" s="5" t="n"/>
      <c r="Q45" s="2" t="n"/>
      <c r="R45" s="3" t="n"/>
      <c r="S45" s="6">
        <f>IF(R45="","",R45+3)</f>
        <v/>
      </c>
      <c r="T45" s="5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3" t="n"/>
      <c r="J46" s="2" t="n"/>
      <c r="K46" s="2" t="n"/>
      <c r="L46" s="2" t="n"/>
      <c r="M46" s="2" t="n"/>
      <c r="N46" s="4">
        <f>IF(A46="","",IF(AND(G46&lt;&gt;"",G46&lt;4),"Ausschluss",IF(G46&gt;=4.5,2,0)+IF(H46&gt;=50,2,IF(H46&gt;=20,1,0))+IF(AND(I46&lt;&gt;"",I46&gt;=TODAY()-90),1,0)+IF(J46="",0,IF(J46&lt;50,2,IF(J46&lt;70,1,0)))+IF(K46="Nein",1,0)+IF(L46="Nein",1,0)+IF(M46="",0,IF(M46&gt;=4,2,IF(M46=3,1,0)))))</f>
        <v/>
      </c>
      <c r="O46" s="4">
        <f>IF(N46="","",IF(N46="Ausschluss","–",IF(N46&gt;=8,"A",IF(N46&gt;=5,"B","C"))))</f>
        <v/>
      </c>
      <c r="P46" s="5" t="n"/>
      <c r="Q46" s="2" t="n"/>
      <c r="R46" s="3" t="n"/>
      <c r="S46" s="6">
        <f>IF(R46="","",R46+3)</f>
        <v/>
      </c>
      <c r="T46" s="5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3" t="n"/>
      <c r="J47" s="2" t="n"/>
      <c r="K47" s="2" t="n"/>
      <c r="L47" s="2" t="n"/>
      <c r="M47" s="2" t="n"/>
      <c r="N47" s="4">
        <f>IF(A47="","",IF(AND(G47&lt;&gt;"",G47&lt;4),"Ausschluss",IF(G47&gt;=4.5,2,0)+IF(H47&gt;=50,2,IF(H47&gt;=20,1,0))+IF(AND(I47&lt;&gt;"",I47&gt;=TODAY()-90),1,0)+IF(J47="",0,IF(J47&lt;50,2,IF(J47&lt;70,1,0)))+IF(K47="Nein",1,0)+IF(L47="Nein",1,0)+IF(M47="",0,IF(M47&gt;=4,2,IF(M47=3,1,0)))))</f>
        <v/>
      </c>
      <c r="O47" s="4">
        <f>IF(N47="","",IF(N47="Ausschluss","–",IF(N47&gt;=8,"A",IF(N47&gt;=5,"B","C"))))</f>
        <v/>
      </c>
      <c r="P47" s="5" t="n"/>
      <c r="Q47" s="2" t="n"/>
      <c r="R47" s="3" t="n"/>
      <c r="S47" s="6">
        <f>IF(R47="","",R47+3)</f>
        <v/>
      </c>
      <c r="T47" s="5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3" t="n"/>
      <c r="J48" s="2" t="n"/>
      <c r="K48" s="2" t="n"/>
      <c r="L48" s="2" t="n"/>
      <c r="M48" s="2" t="n"/>
      <c r="N48" s="4">
        <f>IF(A48="","",IF(AND(G48&lt;&gt;"",G48&lt;4),"Ausschluss",IF(G48&gt;=4.5,2,0)+IF(H48&gt;=50,2,IF(H48&gt;=20,1,0))+IF(AND(I48&lt;&gt;"",I48&gt;=TODAY()-90),1,0)+IF(J48="",0,IF(J48&lt;50,2,IF(J48&lt;70,1,0)))+IF(K48="Nein",1,0)+IF(L48="Nein",1,0)+IF(M48="",0,IF(M48&gt;=4,2,IF(M48=3,1,0)))))</f>
        <v/>
      </c>
      <c r="O48" s="4">
        <f>IF(N48="","",IF(N48="Ausschluss","–",IF(N48&gt;=8,"A",IF(N48&gt;=5,"B","C"))))</f>
        <v/>
      </c>
      <c r="P48" s="5" t="n"/>
      <c r="Q48" s="2" t="n"/>
      <c r="R48" s="3" t="n"/>
      <c r="S48" s="6">
        <f>IF(R48="","",R48+3)</f>
        <v/>
      </c>
      <c r="T48" s="5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3" t="n"/>
      <c r="J49" s="2" t="n"/>
      <c r="K49" s="2" t="n"/>
      <c r="L49" s="2" t="n"/>
      <c r="M49" s="2" t="n"/>
      <c r="N49" s="4">
        <f>IF(A49="","",IF(AND(G49&lt;&gt;"",G49&lt;4),"Ausschluss",IF(G49&gt;=4.5,2,0)+IF(H49&gt;=50,2,IF(H49&gt;=20,1,0))+IF(AND(I49&lt;&gt;"",I49&gt;=TODAY()-90),1,0)+IF(J49="",0,IF(J49&lt;50,2,IF(J49&lt;70,1,0)))+IF(K49="Nein",1,0)+IF(L49="Nein",1,0)+IF(M49="",0,IF(M49&gt;=4,2,IF(M49=3,1,0)))))</f>
        <v/>
      </c>
      <c r="O49" s="4">
        <f>IF(N49="","",IF(N49="Ausschluss","–",IF(N49&gt;=8,"A",IF(N49&gt;=5,"B","C"))))</f>
        <v/>
      </c>
      <c r="P49" s="5" t="n"/>
      <c r="Q49" s="2" t="n"/>
      <c r="R49" s="3" t="n"/>
      <c r="S49" s="6">
        <f>IF(R49="","",R49+3)</f>
        <v/>
      </c>
      <c r="T49" s="5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3" t="n"/>
      <c r="J50" s="2" t="n"/>
      <c r="K50" s="2" t="n"/>
      <c r="L50" s="2" t="n"/>
      <c r="M50" s="2" t="n"/>
      <c r="N50" s="4">
        <f>IF(A50="","",IF(AND(G50&lt;&gt;"",G50&lt;4),"Ausschluss",IF(G50&gt;=4.5,2,0)+IF(H50&gt;=50,2,IF(H50&gt;=20,1,0))+IF(AND(I50&lt;&gt;"",I50&gt;=TODAY()-90),1,0)+IF(J50="",0,IF(J50&lt;50,2,IF(J50&lt;70,1,0)))+IF(K50="Nein",1,0)+IF(L50="Nein",1,0)+IF(M50="",0,IF(M50&gt;=4,2,IF(M50=3,1,0)))))</f>
        <v/>
      </c>
      <c r="O50" s="4">
        <f>IF(N50="","",IF(N50="Ausschluss","–",IF(N50&gt;=8,"A",IF(N50&gt;=5,"B","C"))))</f>
        <v/>
      </c>
      <c r="P50" s="5" t="n"/>
      <c r="Q50" s="2" t="n"/>
      <c r="R50" s="3" t="n"/>
      <c r="S50" s="6">
        <f>IF(R50="","",R50+3)</f>
        <v/>
      </c>
      <c r="T50" s="5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3" t="n"/>
      <c r="J51" s="2" t="n"/>
      <c r="K51" s="2" t="n"/>
      <c r="L51" s="2" t="n"/>
      <c r="M51" s="2" t="n"/>
      <c r="N51" s="4">
        <f>IF(A51="","",IF(AND(G51&lt;&gt;"",G51&lt;4),"Ausschluss",IF(G51&gt;=4.5,2,0)+IF(H51&gt;=50,2,IF(H51&gt;=20,1,0))+IF(AND(I51&lt;&gt;"",I51&gt;=TODAY()-90),1,0)+IF(J51="",0,IF(J51&lt;50,2,IF(J51&lt;70,1,0)))+IF(K51="Nein",1,0)+IF(L51="Nein",1,0)+IF(M51="",0,IF(M51&gt;=4,2,IF(M51=3,1,0)))))</f>
        <v/>
      </c>
      <c r="O51" s="4">
        <f>IF(N51="","",IF(N51="Ausschluss","–",IF(N51&gt;=8,"A",IF(N51&gt;=5,"B","C"))))</f>
        <v/>
      </c>
      <c r="P51" s="5" t="n"/>
      <c r="Q51" s="2" t="n"/>
      <c r="R51" s="3" t="n"/>
      <c r="S51" s="6">
        <f>IF(R51="","",R51+3)</f>
        <v/>
      </c>
      <c r="T51" s="5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3" t="n"/>
      <c r="J52" s="2" t="n"/>
      <c r="K52" s="2" t="n"/>
      <c r="L52" s="2" t="n"/>
      <c r="M52" s="2" t="n"/>
      <c r="N52" s="4">
        <f>IF(A52="","",IF(AND(G52&lt;&gt;"",G52&lt;4),"Ausschluss",IF(G52&gt;=4.5,2,0)+IF(H52&gt;=50,2,IF(H52&gt;=20,1,0))+IF(AND(I52&lt;&gt;"",I52&gt;=TODAY()-90),1,0)+IF(J52="",0,IF(J52&lt;50,2,IF(J52&lt;70,1,0)))+IF(K52="Nein",1,0)+IF(L52="Nein",1,0)+IF(M52="",0,IF(M52&gt;=4,2,IF(M52=3,1,0)))))</f>
        <v/>
      </c>
      <c r="O52" s="4">
        <f>IF(N52="","",IF(N52="Ausschluss","–",IF(N52&gt;=8,"A",IF(N52&gt;=5,"B","C"))))</f>
        <v/>
      </c>
      <c r="P52" s="5" t="n"/>
      <c r="Q52" s="2" t="n"/>
      <c r="R52" s="3" t="n"/>
      <c r="S52" s="6">
        <f>IF(R52="","",R52+3)</f>
        <v/>
      </c>
      <c r="T52" s="5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3" t="n"/>
      <c r="J53" s="2" t="n"/>
      <c r="K53" s="2" t="n"/>
      <c r="L53" s="2" t="n"/>
      <c r="M53" s="2" t="n"/>
      <c r="N53" s="4">
        <f>IF(A53="","",IF(AND(G53&lt;&gt;"",G53&lt;4),"Ausschluss",IF(G53&gt;=4.5,2,0)+IF(H53&gt;=50,2,IF(H53&gt;=20,1,0))+IF(AND(I53&lt;&gt;"",I53&gt;=TODAY()-90),1,0)+IF(J53="",0,IF(J53&lt;50,2,IF(J53&lt;70,1,0)))+IF(K53="Nein",1,0)+IF(L53="Nein",1,0)+IF(M53="",0,IF(M53&gt;=4,2,IF(M53=3,1,0)))))</f>
        <v/>
      </c>
      <c r="O53" s="4">
        <f>IF(N53="","",IF(N53="Ausschluss","–",IF(N53&gt;=8,"A",IF(N53&gt;=5,"B","C"))))</f>
        <v/>
      </c>
      <c r="P53" s="5" t="n"/>
      <c r="Q53" s="2" t="n"/>
      <c r="R53" s="3" t="n"/>
      <c r="S53" s="6">
        <f>IF(R53="","",R53+3)</f>
        <v/>
      </c>
      <c r="T53" s="5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3" t="n"/>
      <c r="J54" s="2" t="n"/>
      <c r="K54" s="2" t="n"/>
      <c r="L54" s="2" t="n"/>
      <c r="M54" s="2" t="n"/>
      <c r="N54" s="4">
        <f>IF(A54="","",IF(AND(G54&lt;&gt;"",G54&lt;4),"Ausschluss",IF(G54&gt;=4.5,2,0)+IF(H54&gt;=50,2,IF(H54&gt;=20,1,0))+IF(AND(I54&lt;&gt;"",I54&gt;=TODAY()-90),1,0)+IF(J54="",0,IF(J54&lt;50,2,IF(J54&lt;70,1,0)))+IF(K54="Nein",1,0)+IF(L54="Nein",1,0)+IF(M54="",0,IF(M54&gt;=4,2,IF(M54=3,1,0)))))</f>
        <v/>
      </c>
      <c r="O54" s="4">
        <f>IF(N54="","",IF(N54="Ausschluss","–",IF(N54&gt;=8,"A",IF(N54&gt;=5,"B","C"))))</f>
        <v/>
      </c>
      <c r="P54" s="5" t="n"/>
      <c r="Q54" s="2" t="n"/>
      <c r="R54" s="3" t="n"/>
      <c r="S54" s="6">
        <f>IF(R54="","",R54+3)</f>
        <v/>
      </c>
      <c r="T54" s="5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3" t="n"/>
      <c r="J55" s="2" t="n"/>
      <c r="K55" s="2" t="n"/>
      <c r="L55" s="2" t="n"/>
      <c r="M55" s="2" t="n"/>
      <c r="N55" s="4">
        <f>IF(A55="","",IF(AND(G55&lt;&gt;"",G55&lt;4),"Ausschluss",IF(G55&gt;=4.5,2,0)+IF(H55&gt;=50,2,IF(H55&gt;=20,1,0))+IF(AND(I55&lt;&gt;"",I55&gt;=TODAY()-90),1,0)+IF(J55="",0,IF(J55&lt;50,2,IF(J55&lt;70,1,0)))+IF(K55="Nein",1,0)+IF(L55="Nein",1,0)+IF(M55="",0,IF(M55&gt;=4,2,IF(M55=3,1,0)))))</f>
        <v/>
      </c>
      <c r="O55" s="4">
        <f>IF(N55="","",IF(N55="Ausschluss","–",IF(N55&gt;=8,"A",IF(N55&gt;=5,"B","C"))))</f>
        <v/>
      </c>
      <c r="P55" s="5" t="n"/>
      <c r="Q55" s="2" t="n"/>
      <c r="R55" s="3" t="n"/>
      <c r="S55" s="6">
        <f>IF(R55="","",R55+3)</f>
        <v/>
      </c>
      <c r="T55" s="5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3" t="n"/>
      <c r="J56" s="2" t="n"/>
      <c r="K56" s="2" t="n"/>
      <c r="L56" s="2" t="n"/>
      <c r="M56" s="2" t="n"/>
      <c r="N56" s="4">
        <f>IF(A56="","",IF(AND(G56&lt;&gt;"",G56&lt;4),"Ausschluss",IF(G56&gt;=4.5,2,0)+IF(H56&gt;=50,2,IF(H56&gt;=20,1,0))+IF(AND(I56&lt;&gt;"",I56&gt;=TODAY()-90),1,0)+IF(J56="",0,IF(J56&lt;50,2,IF(J56&lt;70,1,0)))+IF(K56="Nein",1,0)+IF(L56="Nein",1,0)+IF(M56="",0,IF(M56&gt;=4,2,IF(M56=3,1,0)))))</f>
        <v/>
      </c>
      <c r="O56" s="4">
        <f>IF(N56="","",IF(N56="Ausschluss","–",IF(N56&gt;=8,"A",IF(N56&gt;=5,"B","C"))))</f>
        <v/>
      </c>
      <c r="P56" s="5" t="n"/>
      <c r="Q56" s="2" t="n"/>
      <c r="R56" s="3" t="n"/>
      <c r="S56" s="6">
        <f>IF(R56="","",R56+3)</f>
        <v/>
      </c>
      <c r="T56" s="5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3" t="n"/>
      <c r="J57" s="2" t="n"/>
      <c r="K57" s="2" t="n"/>
      <c r="L57" s="2" t="n"/>
      <c r="M57" s="2" t="n"/>
      <c r="N57" s="4">
        <f>IF(A57="","",IF(AND(G57&lt;&gt;"",G57&lt;4),"Ausschluss",IF(G57&gt;=4.5,2,0)+IF(H57&gt;=50,2,IF(H57&gt;=20,1,0))+IF(AND(I57&lt;&gt;"",I57&gt;=TODAY()-90),1,0)+IF(J57="",0,IF(J57&lt;50,2,IF(J57&lt;70,1,0)))+IF(K57="Nein",1,0)+IF(L57="Nein",1,0)+IF(M57="",0,IF(M57&gt;=4,2,IF(M57=3,1,0)))))</f>
        <v/>
      </c>
      <c r="O57" s="4">
        <f>IF(N57="","",IF(N57="Ausschluss","–",IF(N57&gt;=8,"A",IF(N57&gt;=5,"B","C"))))</f>
        <v/>
      </c>
      <c r="P57" s="5" t="n"/>
      <c r="Q57" s="2" t="n"/>
      <c r="R57" s="3" t="n"/>
      <c r="S57" s="6">
        <f>IF(R57="","",R57+3)</f>
        <v/>
      </c>
      <c r="T57" s="5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3" t="n"/>
      <c r="J58" s="2" t="n"/>
      <c r="K58" s="2" t="n"/>
      <c r="L58" s="2" t="n"/>
      <c r="M58" s="2" t="n"/>
      <c r="N58" s="4">
        <f>IF(A58="","",IF(AND(G58&lt;&gt;"",G58&lt;4),"Ausschluss",IF(G58&gt;=4.5,2,0)+IF(H58&gt;=50,2,IF(H58&gt;=20,1,0))+IF(AND(I58&lt;&gt;"",I58&gt;=TODAY()-90),1,0)+IF(J58="",0,IF(J58&lt;50,2,IF(J58&lt;70,1,0)))+IF(K58="Nein",1,0)+IF(L58="Nein",1,0)+IF(M58="",0,IF(M58&gt;=4,2,IF(M58=3,1,0)))))</f>
        <v/>
      </c>
      <c r="O58" s="4">
        <f>IF(N58="","",IF(N58="Ausschluss","–",IF(N58&gt;=8,"A",IF(N58&gt;=5,"B","C"))))</f>
        <v/>
      </c>
      <c r="P58" s="5" t="n"/>
      <c r="Q58" s="2" t="n"/>
      <c r="R58" s="3" t="n"/>
      <c r="S58" s="6">
        <f>IF(R58="","",R58+3)</f>
        <v/>
      </c>
      <c r="T58" s="5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3" t="n"/>
      <c r="J59" s="2" t="n"/>
      <c r="K59" s="2" t="n"/>
      <c r="L59" s="2" t="n"/>
      <c r="M59" s="2" t="n"/>
      <c r="N59" s="4">
        <f>IF(A59="","",IF(AND(G59&lt;&gt;"",G59&lt;4),"Ausschluss",IF(G59&gt;=4.5,2,0)+IF(H59&gt;=50,2,IF(H59&gt;=20,1,0))+IF(AND(I59&lt;&gt;"",I59&gt;=TODAY()-90),1,0)+IF(J59="",0,IF(J59&lt;50,2,IF(J59&lt;70,1,0)))+IF(K59="Nein",1,0)+IF(L59="Nein",1,0)+IF(M59="",0,IF(M59&gt;=4,2,IF(M59=3,1,0)))))</f>
        <v/>
      </c>
      <c r="O59" s="4">
        <f>IF(N59="","",IF(N59="Ausschluss","–",IF(N59&gt;=8,"A",IF(N59&gt;=5,"B","C"))))</f>
        <v/>
      </c>
      <c r="P59" s="5" t="n"/>
      <c r="Q59" s="2" t="n"/>
      <c r="R59" s="3" t="n"/>
      <c r="S59" s="6">
        <f>IF(R59="","",R59+3)</f>
        <v/>
      </c>
      <c r="T59" s="5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3" t="n"/>
      <c r="J60" s="2" t="n"/>
      <c r="K60" s="2" t="n"/>
      <c r="L60" s="2" t="n"/>
      <c r="M60" s="2" t="n"/>
      <c r="N60" s="4">
        <f>IF(A60="","",IF(AND(G60&lt;&gt;"",G60&lt;4),"Ausschluss",IF(G60&gt;=4.5,2,0)+IF(H60&gt;=50,2,IF(H60&gt;=20,1,0))+IF(AND(I60&lt;&gt;"",I60&gt;=TODAY()-90),1,0)+IF(J60="",0,IF(J60&lt;50,2,IF(J60&lt;70,1,0)))+IF(K60="Nein",1,0)+IF(L60="Nein",1,0)+IF(M60="",0,IF(M60&gt;=4,2,IF(M60=3,1,0)))))</f>
        <v/>
      </c>
      <c r="O60" s="4">
        <f>IF(N60="","",IF(N60="Ausschluss","–",IF(N60&gt;=8,"A",IF(N60&gt;=5,"B","C"))))</f>
        <v/>
      </c>
      <c r="P60" s="5" t="n"/>
      <c r="Q60" s="2" t="n"/>
      <c r="R60" s="3" t="n"/>
      <c r="S60" s="6">
        <f>IF(R60="","",R60+3)</f>
        <v/>
      </c>
      <c r="T60" s="5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3" t="n"/>
      <c r="J61" s="2" t="n"/>
      <c r="K61" s="2" t="n"/>
      <c r="L61" s="2" t="n"/>
      <c r="M61" s="2" t="n"/>
      <c r="N61" s="4">
        <f>IF(A61="","",IF(AND(G61&lt;&gt;"",G61&lt;4),"Ausschluss",IF(G61&gt;=4.5,2,0)+IF(H61&gt;=50,2,IF(H61&gt;=20,1,0))+IF(AND(I61&lt;&gt;"",I61&gt;=TODAY()-90),1,0)+IF(J61="",0,IF(J61&lt;50,2,IF(J61&lt;70,1,0)))+IF(K61="Nein",1,0)+IF(L61="Nein",1,0)+IF(M61="",0,IF(M61&gt;=4,2,IF(M61=3,1,0)))))</f>
        <v/>
      </c>
      <c r="O61" s="4">
        <f>IF(N61="","",IF(N61="Ausschluss","–",IF(N61&gt;=8,"A",IF(N61&gt;=5,"B","C"))))</f>
        <v/>
      </c>
      <c r="P61" s="5" t="n"/>
      <c r="Q61" s="2" t="n"/>
      <c r="R61" s="3" t="n"/>
      <c r="S61" s="6">
        <f>IF(R61="","",R61+3)</f>
        <v/>
      </c>
      <c r="T61" s="5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3" t="n"/>
      <c r="J62" s="2" t="n"/>
      <c r="K62" s="2" t="n"/>
      <c r="L62" s="2" t="n"/>
      <c r="M62" s="2" t="n"/>
      <c r="N62" s="4">
        <f>IF(A62="","",IF(AND(G62&lt;&gt;"",G62&lt;4),"Ausschluss",IF(G62&gt;=4.5,2,0)+IF(H62&gt;=50,2,IF(H62&gt;=20,1,0))+IF(AND(I62&lt;&gt;"",I62&gt;=TODAY()-90),1,0)+IF(J62="",0,IF(J62&lt;50,2,IF(J62&lt;70,1,0)))+IF(K62="Nein",1,0)+IF(L62="Nein",1,0)+IF(M62="",0,IF(M62&gt;=4,2,IF(M62=3,1,0)))))</f>
        <v/>
      </c>
      <c r="O62" s="4">
        <f>IF(N62="","",IF(N62="Ausschluss","–",IF(N62&gt;=8,"A",IF(N62&gt;=5,"B","C"))))</f>
        <v/>
      </c>
      <c r="P62" s="5" t="n"/>
      <c r="Q62" s="2" t="n"/>
      <c r="R62" s="3" t="n"/>
      <c r="S62" s="6">
        <f>IF(R62="","",R62+3)</f>
        <v/>
      </c>
      <c r="T62" s="5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3" t="n"/>
      <c r="J63" s="2" t="n"/>
      <c r="K63" s="2" t="n"/>
      <c r="L63" s="2" t="n"/>
      <c r="M63" s="2" t="n"/>
      <c r="N63" s="4">
        <f>IF(A63="","",IF(AND(G63&lt;&gt;"",G63&lt;4),"Ausschluss",IF(G63&gt;=4.5,2,0)+IF(H63&gt;=50,2,IF(H63&gt;=20,1,0))+IF(AND(I63&lt;&gt;"",I63&gt;=TODAY()-90),1,0)+IF(J63="",0,IF(J63&lt;50,2,IF(J63&lt;70,1,0)))+IF(K63="Nein",1,0)+IF(L63="Nein",1,0)+IF(M63="",0,IF(M63&gt;=4,2,IF(M63=3,1,0)))))</f>
        <v/>
      </c>
      <c r="O63" s="4">
        <f>IF(N63="","",IF(N63="Ausschluss","–",IF(N63&gt;=8,"A",IF(N63&gt;=5,"B","C"))))</f>
        <v/>
      </c>
      <c r="P63" s="5" t="n"/>
      <c r="Q63" s="2" t="n"/>
      <c r="R63" s="3" t="n"/>
      <c r="S63" s="6">
        <f>IF(R63="","",R63+3)</f>
        <v/>
      </c>
      <c r="T63" s="5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3" t="n"/>
      <c r="J64" s="2" t="n"/>
      <c r="K64" s="2" t="n"/>
      <c r="L64" s="2" t="n"/>
      <c r="M64" s="2" t="n"/>
      <c r="N64" s="4">
        <f>IF(A64="","",IF(AND(G64&lt;&gt;"",G64&lt;4),"Ausschluss",IF(G64&gt;=4.5,2,0)+IF(H64&gt;=50,2,IF(H64&gt;=20,1,0))+IF(AND(I64&lt;&gt;"",I64&gt;=TODAY()-90),1,0)+IF(J64="",0,IF(J64&lt;50,2,IF(J64&lt;70,1,0)))+IF(K64="Nein",1,0)+IF(L64="Nein",1,0)+IF(M64="",0,IF(M64&gt;=4,2,IF(M64=3,1,0)))))</f>
        <v/>
      </c>
      <c r="O64" s="4">
        <f>IF(N64="","",IF(N64="Ausschluss","–",IF(N64&gt;=8,"A",IF(N64&gt;=5,"B","C"))))</f>
        <v/>
      </c>
      <c r="P64" s="5" t="n"/>
      <c r="Q64" s="2" t="n"/>
      <c r="R64" s="3" t="n"/>
      <c r="S64" s="6">
        <f>IF(R64="","",R64+3)</f>
        <v/>
      </c>
      <c r="T64" s="5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3" t="n"/>
      <c r="J65" s="2" t="n"/>
      <c r="K65" s="2" t="n"/>
      <c r="L65" s="2" t="n"/>
      <c r="M65" s="2" t="n"/>
      <c r="N65" s="4">
        <f>IF(A65="","",IF(AND(G65&lt;&gt;"",G65&lt;4),"Ausschluss",IF(G65&gt;=4.5,2,0)+IF(H65&gt;=50,2,IF(H65&gt;=20,1,0))+IF(AND(I65&lt;&gt;"",I65&gt;=TODAY()-90),1,0)+IF(J65="",0,IF(J65&lt;50,2,IF(J65&lt;70,1,0)))+IF(K65="Nein",1,0)+IF(L65="Nein",1,0)+IF(M65="",0,IF(M65&gt;=4,2,IF(M65=3,1,0)))))</f>
        <v/>
      </c>
      <c r="O65" s="4">
        <f>IF(N65="","",IF(N65="Ausschluss","–",IF(N65&gt;=8,"A",IF(N65&gt;=5,"B","C"))))</f>
        <v/>
      </c>
      <c r="P65" s="5" t="n"/>
      <c r="Q65" s="2" t="n"/>
      <c r="R65" s="3" t="n"/>
      <c r="S65" s="6">
        <f>IF(R65="","",R65+3)</f>
        <v/>
      </c>
      <c r="T65" s="5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3" t="n"/>
      <c r="J66" s="2" t="n"/>
      <c r="K66" s="2" t="n"/>
      <c r="L66" s="2" t="n"/>
      <c r="M66" s="2" t="n"/>
      <c r="N66" s="4">
        <f>IF(A66="","",IF(AND(G66&lt;&gt;"",G66&lt;4),"Ausschluss",IF(G66&gt;=4.5,2,0)+IF(H66&gt;=50,2,IF(H66&gt;=20,1,0))+IF(AND(I66&lt;&gt;"",I66&gt;=TODAY()-90),1,0)+IF(J66="",0,IF(J66&lt;50,2,IF(J66&lt;70,1,0)))+IF(K66="Nein",1,0)+IF(L66="Nein",1,0)+IF(M66="",0,IF(M66&gt;=4,2,IF(M66=3,1,0)))))</f>
        <v/>
      </c>
      <c r="O66" s="4">
        <f>IF(N66="","",IF(N66="Ausschluss","–",IF(N66&gt;=8,"A",IF(N66&gt;=5,"B","C"))))</f>
        <v/>
      </c>
      <c r="P66" s="5" t="n"/>
      <c r="Q66" s="2" t="n"/>
      <c r="R66" s="3" t="n"/>
      <c r="S66" s="6">
        <f>IF(R66="","",R66+3)</f>
        <v/>
      </c>
      <c r="T66" s="5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3" t="n"/>
      <c r="J67" s="2" t="n"/>
      <c r="K67" s="2" t="n"/>
      <c r="L67" s="2" t="n"/>
      <c r="M67" s="2" t="n"/>
      <c r="N67" s="4">
        <f>IF(A67="","",IF(AND(G67&lt;&gt;"",G67&lt;4),"Ausschluss",IF(G67&gt;=4.5,2,0)+IF(H67&gt;=50,2,IF(H67&gt;=20,1,0))+IF(AND(I67&lt;&gt;"",I67&gt;=TODAY()-90),1,0)+IF(J67="",0,IF(J67&lt;50,2,IF(J67&lt;70,1,0)))+IF(K67="Nein",1,0)+IF(L67="Nein",1,0)+IF(M67="",0,IF(M67&gt;=4,2,IF(M67=3,1,0)))))</f>
        <v/>
      </c>
      <c r="O67" s="4">
        <f>IF(N67="","",IF(N67="Ausschluss","–",IF(N67&gt;=8,"A",IF(N67&gt;=5,"B","C"))))</f>
        <v/>
      </c>
      <c r="P67" s="5" t="n"/>
      <c r="Q67" s="2" t="n"/>
      <c r="R67" s="3" t="n"/>
      <c r="S67" s="6">
        <f>IF(R67="","",R67+3)</f>
        <v/>
      </c>
      <c r="T67" s="5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3" t="n"/>
      <c r="J68" s="2" t="n"/>
      <c r="K68" s="2" t="n"/>
      <c r="L68" s="2" t="n"/>
      <c r="M68" s="2" t="n"/>
      <c r="N68" s="4">
        <f>IF(A68="","",IF(AND(G68&lt;&gt;"",G68&lt;4),"Ausschluss",IF(G68&gt;=4.5,2,0)+IF(H68&gt;=50,2,IF(H68&gt;=20,1,0))+IF(AND(I68&lt;&gt;"",I68&gt;=TODAY()-90),1,0)+IF(J68="",0,IF(J68&lt;50,2,IF(J68&lt;70,1,0)))+IF(K68="Nein",1,0)+IF(L68="Nein",1,0)+IF(M68="",0,IF(M68&gt;=4,2,IF(M68=3,1,0)))))</f>
        <v/>
      </c>
      <c r="O68" s="4">
        <f>IF(N68="","",IF(N68="Ausschluss","–",IF(N68&gt;=8,"A",IF(N68&gt;=5,"B","C"))))</f>
        <v/>
      </c>
      <c r="P68" s="5" t="n"/>
      <c r="Q68" s="2" t="n"/>
      <c r="R68" s="3" t="n"/>
      <c r="S68" s="6">
        <f>IF(R68="","",R68+3)</f>
        <v/>
      </c>
      <c r="T68" s="5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3" t="n"/>
      <c r="J69" s="2" t="n"/>
      <c r="K69" s="2" t="n"/>
      <c r="L69" s="2" t="n"/>
      <c r="M69" s="2" t="n"/>
      <c r="N69" s="4">
        <f>IF(A69="","",IF(AND(G69&lt;&gt;"",G69&lt;4),"Ausschluss",IF(G69&gt;=4.5,2,0)+IF(H69&gt;=50,2,IF(H69&gt;=20,1,0))+IF(AND(I69&lt;&gt;"",I69&gt;=TODAY()-90),1,0)+IF(J69="",0,IF(J69&lt;50,2,IF(J69&lt;70,1,0)))+IF(K69="Nein",1,0)+IF(L69="Nein",1,0)+IF(M69="",0,IF(M69&gt;=4,2,IF(M69=3,1,0)))))</f>
        <v/>
      </c>
      <c r="O69" s="4">
        <f>IF(N69="","",IF(N69="Ausschluss","–",IF(N69&gt;=8,"A",IF(N69&gt;=5,"B","C"))))</f>
        <v/>
      </c>
      <c r="P69" s="5" t="n"/>
      <c r="Q69" s="2" t="n"/>
      <c r="R69" s="3" t="n"/>
      <c r="S69" s="6">
        <f>IF(R69="","",R69+3)</f>
        <v/>
      </c>
      <c r="T69" s="5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3" t="n"/>
      <c r="J70" s="2" t="n"/>
      <c r="K70" s="2" t="n"/>
      <c r="L70" s="2" t="n"/>
      <c r="M70" s="2" t="n"/>
      <c r="N70" s="4">
        <f>IF(A70="","",IF(AND(G70&lt;&gt;"",G70&lt;4),"Ausschluss",IF(G70&gt;=4.5,2,0)+IF(H70&gt;=50,2,IF(H70&gt;=20,1,0))+IF(AND(I70&lt;&gt;"",I70&gt;=TODAY()-90),1,0)+IF(J70="",0,IF(J70&lt;50,2,IF(J70&lt;70,1,0)))+IF(K70="Nein",1,0)+IF(L70="Nein",1,0)+IF(M70="",0,IF(M70&gt;=4,2,IF(M70=3,1,0)))))</f>
        <v/>
      </c>
      <c r="O70" s="4">
        <f>IF(N70="","",IF(N70="Ausschluss","–",IF(N70&gt;=8,"A",IF(N70&gt;=5,"B","C"))))</f>
        <v/>
      </c>
      <c r="P70" s="5" t="n"/>
      <c r="Q70" s="2" t="n"/>
      <c r="R70" s="3" t="n"/>
      <c r="S70" s="6">
        <f>IF(R70="","",R70+3)</f>
        <v/>
      </c>
      <c r="T70" s="5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3" t="n"/>
      <c r="J71" s="2" t="n"/>
      <c r="K71" s="2" t="n"/>
      <c r="L71" s="2" t="n"/>
      <c r="M71" s="2" t="n"/>
      <c r="N71" s="4">
        <f>IF(A71="","",IF(AND(G71&lt;&gt;"",G71&lt;4),"Ausschluss",IF(G71&gt;=4.5,2,0)+IF(H71&gt;=50,2,IF(H71&gt;=20,1,0))+IF(AND(I71&lt;&gt;"",I71&gt;=TODAY()-90),1,0)+IF(J71="",0,IF(J71&lt;50,2,IF(J71&lt;70,1,0)))+IF(K71="Nein",1,0)+IF(L71="Nein",1,0)+IF(M71="",0,IF(M71&gt;=4,2,IF(M71=3,1,0)))))</f>
        <v/>
      </c>
      <c r="O71" s="4">
        <f>IF(N71="","",IF(N71="Ausschluss","–",IF(N71&gt;=8,"A",IF(N71&gt;=5,"B","C"))))</f>
        <v/>
      </c>
      <c r="P71" s="5" t="n"/>
      <c r="Q71" s="2" t="n"/>
      <c r="R71" s="3" t="n"/>
      <c r="S71" s="6">
        <f>IF(R71="","",R71+3)</f>
        <v/>
      </c>
      <c r="T71" s="5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3" t="n"/>
      <c r="J72" s="2" t="n"/>
      <c r="K72" s="2" t="n"/>
      <c r="L72" s="2" t="n"/>
      <c r="M72" s="2" t="n"/>
      <c r="N72" s="4">
        <f>IF(A72="","",IF(AND(G72&lt;&gt;"",G72&lt;4),"Ausschluss",IF(G72&gt;=4.5,2,0)+IF(H72&gt;=50,2,IF(H72&gt;=20,1,0))+IF(AND(I72&lt;&gt;"",I72&gt;=TODAY()-90),1,0)+IF(J72="",0,IF(J72&lt;50,2,IF(J72&lt;70,1,0)))+IF(K72="Nein",1,0)+IF(L72="Nein",1,0)+IF(M72="",0,IF(M72&gt;=4,2,IF(M72=3,1,0)))))</f>
        <v/>
      </c>
      <c r="O72" s="4">
        <f>IF(N72="","",IF(N72="Ausschluss","–",IF(N72&gt;=8,"A",IF(N72&gt;=5,"B","C"))))</f>
        <v/>
      </c>
      <c r="P72" s="5" t="n"/>
      <c r="Q72" s="2" t="n"/>
      <c r="R72" s="3" t="n"/>
      <c r="S72" s="6">
        <f>IF(R72="","",R72+3)</f>
        <v/>
      </c>
      <c r="T72" s="5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3" t="n"/>
      <c r="J73" s="2" t="n"/>
      <c r="K73" s="2" t="n"/>
      <c r="L73" s="2" t="n"/>
      <c r="M73" s="2" t="n"/>
      <c r="N73" s="4">
        <f>IF(A73="","",IF(AND(G73&lt;&gt;"",G73&lt;4),"Ausschluss",IF(G73&gt;=4.5,2,0)+IF(H73&gt;=50,2,IF(H73&gt;=20,1,0))+IF(AND(I73&lt;&gt;"",I73&gt;=TODAY()-90),1,0)+IF(J73="",0,IF(J73&lt;50,2,IF(J73&lt;70,1,0)))+IF(K73="Nein",1,0)+IF(L73="Nein",1,0)+IF(M73="",0,IF(M73&gt;=4,2,IF(M73=3,1,0)))))</f>
        <v/>
      </c>
      <c r="O73" s="4">
        <f>IF(N73="","",IF(N73="Ausschluss","–",IF(N73&gt;=8,"A",IF(N73&gt;=5,"B","C"))))</f>
        <v/>
      </c>
      <c r="P73" s="5" t="n"/>
      <c r="Q73" s="2" t="n"/>
      <c r="R73" s="3" t="n"/>
      <c r="S73" s="6">
        <f>IF(R73="","",R73+3)</f>
        <v/>
      </c>
      <c r="T73" s="5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3" t="n"/>
      <c r="J74" s="2" t="n"/>
      <c r="K74" s="2" t="n"/>
      <c r="L74" s="2" t="n"/>
      <c r="M74" s="2" t="n"/>
      <c r="N74" s="4">
        <f>IF(A74="","",IF(AND(G74&lt;&gt;"",G74&lt;4),"Ausschluss",IF(G74&gt;=4.5,2,0)+IF(H74&gt;=50,2,IF(H74&gt;=20,1,0))+IF(AND(I74&lt;&gt;"",I74&gt;=TODAY()-90),1,0)+IF(J74="",0,IF(J74&lt;50,2,IF(J74&lt;70,1,0)))+IF(K74="Nein",1,0)+IF(L74="Nein",1,0)+IF(M74="",0,IF(M74&gt;=4,2,IF(M74=3,1,0)))))</f>
        <v/>
      </c>
      <c r="O74" s="4">
        <f>IF(N74="","",IF(N74="Ausschluss","–",IF(N74&gt;=8,"A",IF(N74&gt;=5,"B","C"))))</f>
        <v/>
      </c>
      <c r="P74" s="5" t="n"/>
      <c r="Q74" s="2" t="n"/>
      <c r="R74" s="3" t="n"/>
      <c r="S74" s="6">
        <f>IF(R74="","",R74+3)</f>
        <v/>
      </c>
      <c r="T74" s="5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3" t="n"/>
      <c r="J75" s="2" t="n"/>
      <c r="K75" s="2" t="n"/>
      <c r="L75" s="2" t="n"/>
      <c r="M75" s="2" t="n"/>
      <c r="N75" s="4">
        <f>IF(A75="","",IF(AND(G75&lt;&gt;"",G75&lt;4),"Ausschluss",IF(G75&gt;=4.5,2,0)+IF(H75&gt;=50,2,IF(H75&gt;=20,1,0))+IF(AND(I75&lt;&gt;"",I75&gt;=TODAY()-90),1,0)+IF(J75="",0,IF(J75&lt;50,2,IF(J75&lt;70,1,0)))+IF(K75="Nein",1,0)+IF(L75="Nein",1,0)+IF(M75="",0,IF(M75&gt;=4,2,IF(M75=3,1,0)))))</f>
        <v/>
      </c>
      <c r="O75" s="4">
        <f>IF(N75="","",IF(N75="Ausschluss","–",IF(N75&gt;=8,"A",IF(N75&gt;=5,"B","C"))))</f>
        <v/>
      </c>
      <c r="P75" s="5" t="n"/>
      <c r="Q75" s="2" t="n"/>
      <c r="R75" s="3" t="n"/>
      <c r="S75" s="6">
        <f>IF(R75="","",R75+3)</f>
        <v/>
      </c>
      <c r="T75" s="5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3" t="n"/>
      <c r="J76" s="2" t="n"/>
      <c r="K76" s="2" t="n"/>
      <c r="L76" s="2" t="n"/>
      <c r="M76" s="2" t="n"/>
      <c r="N76" s="4">
        <f>IF(A76="","",IF(AND(G76&lt;&gt;"",G76&lt;4),"Ausschluss",IF(G76&gt;=4.5,2,0)+IF(H76&gt;=50,2,IF(H76&gt;=20,1,0))+IF(AND(I76&lt;&gt;"",I76&gt;=TODAY()-90),1,0)+IF(J76="",0,IF(J76&lt;50,2,IF(J76&lt;70,1,0)))+IF(K76="Nein",1,0)+IF(L76="Nein",1,0)+IF(M76="",0,IF(M76&gt;=4,2,IF(M76=3,1,0)))))</f>
        <v/>
      </c>
      <c r="O76" s="4">
        <f>IF(N76="","",IF(N76="Ausschluss","–",IF(N76&gt;=8,"A",IF(N76&gt;=5,"B","C"))))</f>
        <v/>
      </c>
      <c r="P76" s="5" t="n"/>
      <c r="Q76" s="2" t="n"/>
      <c r="R76" s="3" t="n"/>
      <c r="S76" s="6">
        <f>IF(R76="","",R76+3)</f>
        <v/>
      </c>
      <c r="T76" s="5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3" t="n"/>
      <c r="J77" s="2" t="n"/>
      <c r="K77" s="2" t="n"/>
      <c r="L77" s="2" t="n"/>
      <c r="M77" s="2" t="n"/>
      <c r="N77" s="4">
        <f>IF(A77="","",IF(AND(G77&lt;&gt;"",G77&lt;4),"Ausschluss",IF(G77&gt;=4.5,2,0)+IF(H77&gt;=50,2,IF(H77&gt;=20,1,0))+IF(AND(I77&lt;&gt;"",I77&gt;=TODAY()-90),1,0)+IF(J77="",0,IF(J77&lt;50,2,IF(J77&lt;70,1,0)))+IF(K77="Nein",1,0)+IF(L77="Nein",1,0)+IF(M77="",0,IF(M77&gt;=4,2,IF(M77=3,1,0)))))</f>
        <v/>
      </c>
      <c r="O77" s="4">
        <f>IF(N77="","",IF(N77="Ausschluss","–",IF(N77&gt;=8,"A",IF(N77&gt;=5,"B","C"))))</f>
        <v/>
      </c>
      <c r="P77" s="5" t="n"/>
      <c r="Q77" s="2" t="n"/>
      <c r="R77" s="3" t="n"/>
      <c r="S77" s="6">
        <f>IF(R77="","",R77+3)</f>
        <v/>
      </c>
      <c r="T77" s="5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3" t="n"/>
      <c r="J78" s="2" t="n"/>
      <c r="K78" s="2" t="n"/>
      <c r="L78" s="2" t="n"/>
      <c r="M78" s="2" t="n"/>
      <c r="N78" s="4">
        <f>IF(A78="","",IF(AND(G78&lt;&gt;"",G78&lt;4),"Ausschluss",IF(G78&gt;=4.5,2,0)+IF(H78&gt;=50,2,IF(H78&gt;=20,1,0))+IF(AND(I78&lt;&gt;"",I78&gt;=TODAY()-90),1,0)+IF(J78="",0,IF(J78&lt;50,2,IF(J78&lt;70,1,0)))+IF(K78="Nein",1,0)+IF(L78="Nein",1,0)+IF(M78="",0,IF(M78&gt;=4,2,IF(M78=3,1,0)))))</f>
        <v/>
      </c>
      <c r="O78" s="4">
        <f>IF(N78="","",IF(N78="Ausschluss","–",IF(N78&gt;=8,"A",IF(N78&gt;=5,"B","C"))))</f>
        <v/>
      </c>
      <c r="P78" s="5" t="n"/>
      <c r="Q78" s="2" t="n"/>
      <c r="R78" s="3" t="n"/>
      <c r="S78" s="6">
        <f>IF(R78="","",R78+3)</f>
        <v/>
      </c>
      <c r="T78" s="5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3" t="n"/>
      <c r="J79" s="2" t="n"/>
      <c r="K79" s="2" t="n"/>
      <c r="L79" s="2" t="n"/>
      <c r="M79" s="2" t="n"/>
      <c r="N79" s="4">
        <f>IF(A79="","",IF(AND(G79&lt;&gt;"",G79&lt;4),"Ausschluss",IF(G79&gt;=4.5,2,0)+IF(H79&gt;=50,2,IF(H79&gt;=20,1,0))+IF(AND(I79&lt;&gt;"",I79&gt;=TODAY()-90),1,0)+IF(J79="",0,IF(J79&lt;50,2,IF(J79&lt;70,1,0)))+IF(K79="Nein",1,0)+IF(L79="Nein",1,0)+IF(M79="",0,IF(M79&gt;=4,2,IF(M79=3,1,0)))))</f>
        <v/>
      </c>
      <c r="O79" s="4">
        <f>IF(N79="","",IF(N79="Ausschluss","–",IF(N79&gt;=8,"A",IF(N79&gt;=5,"B","C"))))</f>
        <v/>
      </c>
      <c r="P79" s="5" t="n"/>
      <c r="Q79" s="2" t="n"/>
      <c r="R79" s="3" t="n"/>
      <c r="S79" s="6">
        <f>IF(R79="","",R79+3)</f>
        <v/>
      </c>
      <c r="T79" s="5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3" t="n"/>
      <c r="J80" s="2" t="n"/>
      <c r="K80" s="2" t="n"/>
      <c r="L80" s="2" t="n"/>
      <c r="M80" s="2" t="n"/>
      <c r="N80" s="4">
        <f>IF(A80="","",IF(AND(G80&lt;&gt;"",G80&lt;4),"Ausschluss",IF(G80&gt;=4.5,2,0)+IF(H80&gt;=50,2,IF(H80&gt;=20,1,0))+IF(AND(I80&lt;&gt;"",I80&gt;=TODAY()-90),1,0)+IF(J80="",0,IF(J80&lt;50,2,IF(J80&lt;70,1,0)))+IF(K80="Nein",1,0)+IF(L80="Nein",1,0)+IF(M80="",0,IF(M80&gt;=4,2,IF(M80=3,1,0)))))</f>
        <v/>
      </c>
      <c r="O80" s="4">
        <f>IF(N80="","",IF(N80="Ausschluss","–",IF(N80&gt;=8,"A",IF(N80&gt;=5,"B","C"))))</f>
        <v/>
      </c>
      <c r="P80" s="5" t="n"/>
      <c r="Q80" s="2" t="n"/>
      <c r="R80" s="3" t="n"/>
      <c r="S80" s="6">
        <f>IF(R80="","",R80+3)</f>
        <v/>
      </c>
      <c r="T80" s="5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3" t="n"/>
      <c r="J81" s="2" t="n"/>
      <c r="K81" s="2" t="n"/>
      <c r="L81" s="2" t="n"/>
      <c r="M81" s="2" t="n"/>
      <c r="N81" s="4">
        <f>IF(A81="","",IF(AND(G81&lt;&gt;"",G81&lt;4),"Ausschluss",IF(G81&gt;=4.5,2,0)+IF(H81&gt;=50,2,IF(H81&gt;=20,1,0))+IF(AND(I81&lt;&gt;"",I81&gt;=TODAY()-90),1,0)+IF(J81="",0,IF(J81&lt;50,2,IF(J81&lt;70,1,0)))+IF(K81="Nein",1,0)+IF(L81="Nein",1,0)+IF(M81="",0,IF(M81&gt;=4,2,IF(M81=3,1,0)))))</f>
        <v/>
      </c>
      <c r="O81" s="4">
        <f>IF(N81="","",IF(N81="Ausschluss","–",IF(N81&gt;=8,"A",IF(N81&gt;=5,"B","C"))))</f>
        <v/>
      </c>
      <c r="P81" s="5" t="n"/>
      <c r="Q81" s="2" t="n"/>
      <c r="R81" s="3" t="n"/>
      <c r="S81" s="6">
        <f>IF(R81="","",R81+3)</f>
        <v/>
      </c>
      <c r="T81" s="5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3" t="n"/>
      <c r="J82" s="2" t="n"/>
      <c r="K82" s="2" t="n"/>
      <c r="L82" s="2" t="n"/>
      <c r="M82" s="2" t="n"/>
      <c r="N82" s="4">
        <f>IF(A82="","",IF(AND(G82&lt;&gt;"",G82&lt;4),"Ausschluss",IF(G82&gt;=4.5,2,0)+IF(H82&gt;=50,2,IF(H82&gt;=20,1,0))+IF(AND(I82&lt;&gt;"",I82&gt;=TODAY()-90),1,0)+IF(J82="",0,IF(J82&lt;50,2,IF(J82&lt;70,1,0)))+IF(K82="Nein",1,0)+IF(L82="Nein",1,0)+IF(M82="",0,IF(M82&gt;=4,2,IF(M82=3,1,0)))))</f>
        <v/>
      </c>
      <c r="O82" s="4">
        <f>IF(N82="","",IF(N82="Ausschluss","–",IF(N82&gt;=8,"A",IF(N82&gt;=5,"B","C"))))</f>
        <v/>
      </c>
      <c r="P82" s="5" t="n"/>
      <c r="Q82" s="2" t="n"/>
      <c r="R82" s="3" t="n"/>
      <c r="S82" s="6">
        <f>IF(R82="","",R82+3)</f>
        <v/>
      </c>
      <c r="T82" s="5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3" t="n"/>
      <c r="J83" s="2" t="n"/>
      <c r="K83" s="2" t="n"/>
      <c r="L83" s="2" t="n"/>
      <c r="M83" s="2" t="n"/>
      <c r="N83" s="4">
        <f>IF(A83="","",IF(AND(G83&lt;&gt;"",G83&lt;4),"Ausschluss",IF(G83&gt;=4.5,2,0)+IF(H83&gt;=50,2,IF(H83&gt;=20,1,0))+IF(AND(I83&lt;&gt;"",I83&gt;=TODAY()-90),1,0)+IF(J83="",0,IF(J83&lt;50,2,IF(J83&lt;70,1,0)))+IF(K83="Nein",1,0)+IF(L83="Nein",1,0)+IF(M83="",0,IF(M83&gt;=4,2,IF(M83=3,1,0)))))</f>
        <v/>
      </c>
      <c r="O83" s="4">
        <f>IF(N83="","",IF(N83="Ausschluss","–",IF(N83&gt;=8,"A",IF(N83&gt;=5,"B","C"))))</f>
        <v/>
      </c>
      <c r="P83" s="5" t="n"/>
      <c r="Q83" s="2" t="n"/>
      <c r="R83" s="3" t="n"/>
      <c r="S83" s="6">
        <f>IF(R83="","",R83+3)</f>
        <v/>
      </c>
      <c r="T83" s="5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3" t="n"/>
      <c r="J84" s="2" t="n"/>
      <c r="K84" s="2" t="n"/>
      <c r="L84" s="2" t="n"/>
      <c r="M84" s="2" t="n"/>
      <c r="N84" s="4">
        <f>IF(A84="","",IF(AND(G84&lt;&gt;"",G84&lt;4),"Ausschluss",IF(G84&gt;=4.5,2,0)+IF(H84&gt;=50,2,IF(H84&gt;=20,1,0))+IF(AND(I84&lt;&gt;"",I84&gt;=TODAY()-90),1,0)+IF(J84="",0,IF(J84&lt;50,2,IF(J84&lt;70,1,0)))+IF(K84="Nein",1,0)+IF(L84="Nein",1,0)+IF(M84="",0,IF(M84&gt;=4,2,IF(M84=3,1,0)))))</f>
        <v/>
      </c>
      <c r="O84" s="4">
        <f>IF(N84="","",IF(N84="Ausschluss","–",IF(N84&gt;=8,"A",IF(N84&gt;=5,"B","C"))))</f>
        <v/>
      </c>
      <c r="P84" s="5" t="n"/>
      <c r="Q84" s="2" t="n"/>
      <c r="R84" s="3" t="n"/>
      <c r="S84" s="6">
        <f>IF(R84="","",R84+3)</f>
        <v/>
      </c>
      <c r="T84" s="5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3" t="n"/>
      <c r="J85" s="2" t="n"/>
      <c r="K85" s="2" t="n"/>
      <c r="L85" s="2" t="n"/>
      <c r="M85" s="2" t="n"/>
      <c r="N85" s="4">
        <f>IF(A85="","",IF(AND(G85&lt;&gt;"",G85&lt;4),"Ausschluss",IF(G85&gt;=4.5,2,0)+IF(H85&gt;=50,2,IF(H85&gt;=20,1,0))+IF(AND(I85&lt;&gt;"",I85&gt;=TODAY()-90),1,0)+IF(J85="",0,IF(J85&lt;50,2,IF(J85&lt;70,1,0)))+IF(K85="Nein",1,0)+IF(L85="Nein",1,0)+IF(M85="",0,IF(M85&gt;=4,2,IF(M85=3,1,0)))))</f>
        <v/>
      </c>
      <c r="O85" s="4">
        <f>IF(N85="","",IF(N85="Ausschluss","–",IF(N85&gt;=8,"A",IF(N85&gt;=5,"B","C"))))</f>
        <v/>
      </c>
      <c r="P85" s="5" t="n"/>
      <c r="Q85" s="2" t="n"/>
      <c r="R85" s="3" t="n"/>
      <c r="S85" s="6">
        <f>IF(R85="","",R85+3)</f>
        <v/>
      </c>
      <c r="T85" s="5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3" t="n"/>
      <c r="J86" s="2" t="n"/>
      <c r="K86" s="2" t="n"/>
      <c r="L86" s="2" t="n"/>
      <c r="M86" s="2" t="n"/>
      <c r="N86" s="4">
        <f>IF(A86="","",IF(AND(G86&lt;&gt;"",G86&lt;4),"Ausschluss",IF(G86&gt;=4.5,2,0)+IF(H86&gt;=50,2,IF(H86&gt;=20,1,0))+IF(AND(I86&lt;&gt;"",I86&gt;=TODAY()-90),1,0)+IF(J86="",0,IF(J86&lt;50,2,IF(J86&lt;70,1,0)))+IF(K86="Nein",1,0)+IF(L86="Nein",1,0)+IF(M86="",0,IF(M86&gt;=4,2,IF(M86=3,1,0)))))</f>
        <v/>
      </c>
      <c r="O86" s="4">
        <f>IF(N86="","",IF(N86="Ausschluss","–",IF(N86&gt;=8,"A",IF(N86&gt;=5,"B","C"))))</f>
        <v/>
      </c>
      <c r="P86" s="5" t="n"/>
      <c r="Q86" s="2" t="n"/>
      <c r="R86" s="3" t="n"/>
      <c r="S86" s="6">
        <f>IF(R86="","",R86+3)</f>
        <v/>
      </c>
      <c r="T86" s="5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3" t="n"/>
      <c r="J87" s="2" t="n"/>
      <c r="K87" s="2" t="n"/>
      <c r="L87" s="2" t="n"/>
      <c r="M87" s="2" t="n"/>
      <c r="N87" s="4">
        <f>IF(A87="","",IF(AND(G87&lt;&gt;"",G87&lt;4),"Ausschluss",IF(G87&gt;=4.5,2,0)+IF(H87&gt;=50,2,IF(H87&gt;=20,1,0))+IF(AND(I87&lt;&gt;"",I87&gt;=TODAY()-90),1,0)+IF(J87="",0,IF(J87&lt;50,2,IF(J87&lt;70,1,0)))+IF(K87="Nein",1,0)+IF(L87="Nein",1,0)+IF(M87="",0,IF(M87&gt;=4,2,IF(M87=3,1,0)))))</f>
        <v/>
      </c>
      <c r="O87" s="4">
        <f>IF(N87="","",IF(N87="Ausschluss","–",IF(N87&gt;=8,"A",IF(N87&gt;=5,"B","C"))))</f>
        <v/>
      </c>
      <c r="P87" s="5" t="n"/>
      <c r="Q87" s="2" t="n"/>
      <c r="R87" s="3" t="n"/>
      <c r="S87" s="6">
        <f>IF(R87="","",R87+3)</f>
        <v/>
      </c>
      <c r="T87" s="5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3" t="n"/>
      <c r="J88" s="2" t="n"/>
      <c r="K88" s="2" t="n"/>
      <c r="L88" s="2" t="n"/>
      <c r="M88" s="2" t="n"/>
      <c r="N88" s="4">
        <f>IF(A88="","",IF(AND(G88&lt;&gt;"",G88&lt;4),"Ausschluss",IF(G88&gt;=4.5,2,0)+IF(H88&gt;=50,2,IF(H88&gt;=20,1,0))+IF(AND(I88&lt;&gt;"",I88&gt;=TODAY()-90),1,0)+IF(J88="",0,IF(J88&lt;50,2,IF(J88&lt;70,1,0)))+IF(K88="Nein",1,0)+IF(L88="Nein",1,0)+IF(M88="",0,IF(M88&gt;=4,2,IF(M88=3,1,0)))))</f>
        <v/>
      </c>
      <c r="O88" s="4">
        <f>IF(N88="","",IF(N88="Ausschluss","–",IF(N88&gt;=8,"A",IF(N88&gt;=5,"B","C"))))</f>
        <v/>
      </c>
      <c r="P88" s="5" t="n"/>
      <c r="Q88" s="2" t="n"/>
      <c r="R88" s="3" t="n"/>
      <c r="S88" s="6">
        <f>IF(R88="","",R88+3)</f>
        <v/>
      </c>
      <c r="T88" s="5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3" t="n"/>
      <c r="J89" s="2" t="n"/>
      <c r="K89" s="2" t="n"/>
      <c r="L89" s="2" t="n"/>
      <c r="M89" s="2" t="n"/>
      <c r="N89" s="4">
        <f>IF(A89="","",IF(AND(G89&lt;&gt;"",G89&lt;4),"Ausschluss",IF(G89&gt;=4.5,2,0)+IF(H89&gt;=50,2,IF(H89&gt;=20,1,0))+IF(AND(I89&lt;&gt;"",I89&gt;=TODAY()-90),1,0)+IF(J89="",0,IF(J89&lt;50,2,IF(J89&lt;70,1,0)))+IF(K89="Nein",1,0)+IF(L89="Nein",1,0)+IF(M89="",0,IF(M89&gt;=4,2,IF(M89=3,1,0)))))</f>
        <v/>
      </c>
      <c r="O89" s="4">
        <f>IF(N89="","",IF(N89="Ausschluss","–",IF(N89&gt;=8,"A",IF(N89&gt;=5,"B","C"))))</f>
        <v/>
      </c>
      <c r="P89" s="5" t="n"/>
      <c r="Q89" s="2" t="n"/>
      <c r="R89" s="3" t="n"/>
      <c r="S89" s="6">
        <f>IF(R89="","",R89+3)</f>
        <v/>
      </c>
      <c r="T89" s="5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3" t="n"/>
      <c r="J90" s="2" t="n"/>
      <c r="K90" s="2" t="n"/>
      <c r="L90" s="2" t="n"/>
      <c r="M90" s="2" t="n"/>
      <c r="N90" s="4">
        <f>IF(A90="","",IF(AND(G90&lt;&gt;"",G90&lt;4),"Ausschluss",IF(G90&gt;=4.5,2,0)+IF(H90&gt;=50,2,IF(H90&gt;=20,1,0))+IF(AND(I90&lt;&gt;"",I90&gt;=TODAY()-90),1,0)+IF(J90="",0,IF(J90&lt;50,2,IF(J90&lt;70,1,0)))+IF(K90="Nein",1,0)+IF(L90="Nein",1,0)+IF(M90="",0,IF(M90&gt;=4,2,IF(M90=3,1,0)))))</f>
        <v/>
      </c>
      <c r="O90" s="4">
        <f>IF(N90="","",IF(N90="Ausschluss","–",IF(N90&gt;=8,"A",IF(N90&gt;=5,"B","C"))))</f>
        <v/>
      </c>
      <c r="P90" s="5" t="n"/>
      <c r="Q90" s="2" t="n"/>
      <c r="R90" s="3" t="n"/>
      <c r="S90" s="6">
        <f>IF(R90="","",R90+3)</f>
        <v/>
      </c>
      <c r="T90" s="5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3" t="n"/>
      <c r="J91" s="2" t="n"/>
      <c r="K91" s="2" t="n"/>
      <c r="L91" s="2" t="n"/>
      <c r="M91" s="2" t="n"/>
      <c r="N91" s="4">
        <f>IF(A91="","",IF(AND(G91&lt;&gt;"",G91&lt;4),"Ausschluss",IF(G91&gt;=4.5,2,0)+IF(H91&gt;=50,2,IF(H91&gt;=20,1,0))+IF(AND(I91&lt;&gt;"",I91&gt;=TODAY()-90),1,0)+IF(J91="",0,IF(J91&lt;50,2,IF(J91&lt;70,1,0)))+IF(K91="Nein",1,0)+IF(L91="Nein",1,0)+IF(M91="",0,IF(M91&gt;=4,2,IF(M91=3,1,0)))))</f>
        <v/>
      </c>
      <c r="O91" s="4">
        <f>IF(N91="","",IF(N91="Ausschluss","–",IF(N91&gt;=8,"A",IF(N91&gt;=5,"B","C"))))</f>
        <v/>
      </c>
      <c r="P91" s="5" t="n"/>
      <c r="Q91" s="2" t="n"/>
      <c r="R91" s="3" t="n"/>
      <c r="S91" s="6">
        <f>IF(R91="","",R91+3)</f>
        <v/>
      </c>
      <c r="T91" s="5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3" t="n"/>
      <c r="J92" s="2" t="n"/>
      <c r="K92" s="2" t="n"/>
      <c r="L92" s="2" t="n"/>
      <c r="M92" s="2" t="n"/>
      <c r="N92" s="4">
        <f>IF(A92="","",IF(AND(G92&lt;&gt;"",G92&lt;4),"Ausschluss",IF(G92&gt;=4.5,2,0)+IF(H92&gt;=50,2,IF(H92&gt;=20,1,0))+IF(AND(I92&lt;&gt;"",I92&gt;=TODAY()-90),1,0)+IF(J92="",0,IF(J92&lt;50,2,IF(J92&lt;70,1,0)))+IF(K92="Nein",1,0)+IF(L92="Nein",1,0)+IF(M92="",0,IF(M92&gt;=4,2,IF(M92=3,1,0)))))</f>
        <v/>
      </c>
      <c r="O92" s="4">
        <f>IF(N92="","",IF(N92="Ausschluss","–",IF(N92&gt;=8,"A",IF(N92&gt;=5,"B","C"))))</f>
        <v/>
      </c>
      <c r="P92" s="5" t="n"/>
      <c r="Q92" s="2" t="n"/>
      <c r="R92" s="3" t="n"/>
      <c r="S92" s="6">
        <f>IF(R92="","",R92+3)</f>
        <v/>
      </c>
      <c r="T92" s="5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3" t="n"/>
      <c r="J93" s="2" t="n"/>
      <c r="K93" s="2" t="n"/>
      <c r="L93" s="2" t="n"/>
      <c r="M93" s="2" t="n"/>
      <c r="N93" s="4">
        <f>IF(A93="","",IF(AND(G93&lt;&gt;"",G93&lt;4),"Ausschluss",IF(G93&gt;=4.5,2,0)+IF(H93&gt;=50,2,IF(H93&gt;=20,1,0))+IF(AND(I93&lt;&gt;"",I93&gt;=TODAY()-90),1,0)+IF(J93="",0,IF(J93&lt;50,2,IF(J93&lt;70,1,0)))+IF(K93="Nein",1,0)+IF(L93="Nein",1,0)+IF(M93="",0,IF(M93&gt;=4,2,IF(M93=3,1,0)))))</f>
        <v/>
      </c>
      <c r="O93" s="4">
        <f>IF(N93="","",IF(N93="Ausschluss","–",IF(N93&gt;=8,"A",IF(N93&gt;=5,"B","C"))))</f>
        <v/>
      </c>
      <c r="P93" s="5" t="n"/>
      <c r="Q93" s="2" t="n"/>
      <c r="R93" s="3" t="n"/>
      <c r="S93" s="6">
        <f>IF(R93="","",R93+3)</f>
        <v/>
      </c>
      <c r="T93" s="5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3" t="n"/>
      <c r="J94" s="2" t="n"/>
      <c r="K94" s="2" t="n"/>
      <c r="L94" s="2" t="n"/>
      <c r="M94" s="2" t="n"/>
      <c r="N94" s="4">
        <f>IF(A94="","",IF(AND(G94&lt;&gt;"",G94&lt;4),"Ausschluss",IF(G94&gt;=4.5,2,0)+IF(H94&gt;=50,2,IF(H94&gt;=20,1,0))+IF(AND(I94&lt;&gt;"",I94&gt;=TODAY()-90),1,0)+IF(J94="",0,IF(J94&lt;50,2,IF(J94&lt;70,1,0)))+IF(K94="Nein",1,0)+IF(L94="Nein",1,0)+IF(M94="",0,IF(M94&gt;=4,2,IF(M94=3,1,0)))))</f>
        <v/>
      </c>
      <c r="O94" s="4">
        <f>IF(N94="","",IF(N94="Ausschluss","–",IF(N94&gt;=8,"A",IF(N94&gt;=5,"B","C"))))</f>
        <v/>
      </c>
      <c r="P94" s="5" t="n"/>
      <c r="Q94" s="2" t="n"/>
      <c r="R94" s="3" t="n"/>
      <c r="S94" s="6">
        <f>IF(R94="","",R94+3)</f>
        <v/>
      </c>
      <c r="T94" s="5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3" t="n"/>
      <c r="J95" s="2" t="n"/>
      <c r="K95" s="2" t="n"/>
      <c r="L95" s="2" t="n"/>
      <c r="M95" s="2" t="n"/>
      <c r="N95" s="4">
        <f>IF(A95="","",IF(AND(G95&lt;&gt;"",G95&lt;4),"Ausschluss",IF(G95&gt;=4.5,2,0)+IF(H95&gt;=50,2,IF(H95&gt;=20,1,0))+IF(AND(I95&lt;&gt;"",I95&gt;=TODAY()-90),1,0)+IF(J95="",0,IF(J95&lt;50,2,IF(J95&lt;70,1,0)))+IF(K95="Nein",1,0)+IF(L95="Nein",1,0)+IF(M95="",0,IF(M95&gt;=4,2,IF(M95=3,1,0)))))</f>
        <v/>
      </c>
      <c r="O95" s="4">
        <f>IF(N95="","",IF(N95="Ausschluss","–",IF(N95&gt;=8,"A",IF(N95&gt;=5,"B","C"))))</f>
        <v/>
      </c>
      <c r="P95" s="5" t="n"/>
      <c r="Q95" s="2" t="n"/>
      <c r="R95" s="3" t="n"/>
      <c r="S95" s="6">
        <f>IF(R95="","",R95+3)</f>
        <v/>
      </c>
      <c r="T95" s="5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3" t="n"/>
      <c r="J96" s="2" t="n"/>
      <c r="K96" s="2" t="n"/>
      <c r="L96" s="2" t="n"/>
      <c r="M96" s="2" t="n"/>
      <c r="N96" s="4">
        <f>IF(A96="","",IF(AND(G96&lt;&gt;"",G96&lt;4),"Ausschluss",IF(G96&gt;=4.5,2,0)+IF(H96&gt;=50,2,IF(H96&gt;=20,1,0))+IF(AND(I96&lt;&gt;"",I96&gt;=TODAY()-90),1,0)+IF(J96="",0,IF(J96&lt;50,2,IF(J96&lt;70,1,0)))+IF(K96="Nein",1,0)+IF(L96="Nein",1,0)+IF(M96="",0,IF(M96&gt;=4,2,IF(M96=3,1,0)))))</f>
        <v/>
      </c>
      <c r="O96" s="4">
        <f>IF(N96="","",IF(N96="Ausschluss","–",IF(N96&gt;=8,"A",IF(N96&gt;=5,"B","C"))))</f>
        <v/>
      </c>
      <c r="P96" s="5" t="n"/>
      <c r="Q96" s="2" t="n"/>
      <c r="R96" s="3" t="n"/>
      <c r="S96" s="6">
        <f>IF(R96="","",R96+3)</f>
        <v/>
      </c>
      <c r="T96" s="5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3" t="n"/>
      <c r="J97" s="2" t="n"/>
      <c r="K97" s="2" t="n"/>
      <c r="L97" s="2" t="n"/>
      <c r="M97" s="2" t="n"/>
      <c r="N97" s="4">
        <f>IF(A97="","",IF(AND(G97&lt;&gt;"",G97&lt;4),"Ausschluss",IF(G97&gt;=4.5,2,0)+IF(H97&gt;=50,2,IF(H97&gt;=20,1,0))+IF(AND(I97&lt;&gt;"",I97&gt;=TODAY()-90),1,0)+IF(J97="",0,IF(J97&lt;50,2,IF(J97&lt;70,1,0)))+IF(K97="Nein",1,0)+IF(L97="Nein",1,0)+IF(M97="",0,IF(M97&gt;=4,2,IF(M97=3,1,0)))))</f>
        <v/>
      </c>
      <c r="O97" s="4">
        <f>IF(N97="","",IF(N97="Ausschluss","–",IF(N97&gt;=8,"A",IF(N97&gt;=5,"B","C"))))</f>
        <v/>
      </c>
      <c r="P97" s="5" t="n"/>
      <c r="Q97" s="2" t="n"/>
      <c r="R97" s="3" t="n"/>
      <c r="S97" s="6">
        <f>IF(R97="","",R97+3)</f>
        <v/>
      </c>
      <c r="T97" s="5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3" t="n"/>
      <c r="J98" s="2" t="n"/>
      <c r="K98" s="2" t="n"/>
      <c r="L98" s="2" t="n"/>
      <c r="M98" s="2" t="n"/>
      <c r="N98" s="4">
        <f>IF(A98="","",IF(AND(G98&lt;&gt;"",G98&lt;4),"Ausschluss",IF(G98&gt;=4.5,2,0)+IF(H98&gt;=50,2,IF(H98&gt;=20,1,0))+IF(AND(I98&lt;&gt;"",I98&gt;=TODAY()-90),1,0)+IF(J98="",0,IF(J98&lt;50,2,IF(J98&lt;70,1,0)))+IF(K98="Nein",1,0)+IF(L98="Nein",1,0)+IF(M98="",0,IF(M98&gt;=4,2,IF(M98=3,1,0)))))</f>
        <v/>
      </c>
      <c r="O98" s="4">
        <f>IF(N98="","",IF(N98="Ausschluss","–",IF(N98&gt;=8,"A",IF(N98&gt;=5,"B","C"))))</f>
        <v/>
      </c>
      <c r="P98" s="5" t="n"/>
      <c r="Q98" s="2" t="n"/>
      <c r="R98" s="3" t="n"/>
      <c r="S98" s="6">
        <f>IF(R98="","",R98+3)</f>
        <v/>
      </c>
      <c r="T98" s="5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3" t="n"/>
      <c r="J99" s="2" t="n"/>
      <c r="K99" s="2" t="n"/>
      <c r="L99" s="2" t="n"/>
      <c r="M99" s="2" t="n"/>
      <c r="N99" s="4">
        <f>IF(A99="","",IF(AND(G99&lt;&gt;"",G99&lt;4),"Ausschluss",IF(G99&gt;=4.5,2,0)+IF(H99&gt;=50,2,IF(H99&gt;=20,1,0))+IF(AND(I99&lt;&gt;"",I99&gt;=TODAY()-90),1,0)+IF(J99="",0,IF(J99&lt;50,2,IF(J99&lt;70,1,0)))+IF(K99="Nein",1,0)+IF(L99="Nein",1,0)+IF(M99="",0,IF(M99&gt;=4,2,IF(M99=3,1,0)))))</f>
        <v/>
      </c>
      <c r="O99" s="4">
        <f>IF(N99="","",IF(N99="Ausschluss","–",IF(N99&gt;=8,"A",IF(N99&gt;=5,"B","C"))))</f>
        <v/>
      </c>
      <c r="P99" s="5" t="n"/>
      <c r="Q99" s="2" t="n"/>
      <c r="R99" s="3" t="n"/>
      <c r="S99" s="6">
        <f>IF(R99="","",R99+3)</f>
        <v/>
      </c>
      <c r="T99" s="5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3" t="n"/>
      <c r="J100" s="2" t="n"/>
      <c r="K100" s="2" t="n"/>
      <c r="L100" s="2" t="n"/>
      <c r="M100" s="2" t="n"/>
      <c r="N100" s="4">
        <f>IF(A100="","",IF(AND(G100&lt;&gt;"",G100&lt;4),"Ausschluss",IF(G100&gt;=4.5,2,0)+IF(H100&gt;=50,2,IF(H100&gt;=20,1,0))+IF(AND(I100&lt;&gt;"",I100&gt;=TODAY()-90),1,0)+IF(J100="",0,IF(J100&lt;50,2,IF(J100&lt;70,1,0)))+IF(K100="Nein",1,0)+IF(L100="Nein",1,0)+IF(M100="",0,IF(M100&gt;=4,2,IF(M100=3,1,0)))))</f>
        <v/>
      </c>
      <c r="O100" s="4">
        <f>IF(N100="","",IF(N100="Ausschluss","–",IF(N100&gt;=8,"A",IF(N100&gt;=5,"B","C"))))</f>
        <v/>
      </c>
      <c r="P100" s="5" t="n"/>
      <c r="Q100" s="2" t="n"/>
      <c r="R100" s="3" t="n"/>
      <c r="S100" s="6">
        <f>IF(R100="","",R100+3)</f>
        <v/>
      </c>
      <c r="T100" s="5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3" t="n"/>
      <c r="J101" s="2" t="n"/>
      <c r="K101" s="2" t="n"/>
      <c r="L101" s="2" t="n"/>
      <c r="M101" s="2" t="n"/>
      <c r="N101" s="4">
        <f>IF(A101="","",IF(AND(G101&lt;&gt;"",G101&lt;4),"Ausschluss",IF(G101&gt;=4.5,2,0)+IF(H101&gt;=50,2,IF(H101&gt;=20,1,0))+IF(AND(I101&lt;&gt;"",I101&gt;=TODAY()-90),1,0)+IF(J101="",0,IF(J101&lt;50,2,IF(J101&lt;70,1,0)))+IF(K101="Nein",1,0)+IF(L101="Nein",1,0)+IF(M101="",0,IF(M101&gt;=4,2,IF(M101=3,1,0)))))</f>
        <v/>
      </c>
      <c r="O101" s="4">
        <f>IF(N101="","",IF(N101="Ausschluss","–",IF(N101&gt;=8,"A",IF(N101&gt;=5,"B","C"))))</f>
        <v/>
      </c>
      <c r="P101" s="5" t="n"/>
      <c r="Q101" s="2" t="n"/>
      <c r="R101" s="3" t="n"/>
      <c r="S101" s="6">
        <f>IF(R101="","",R101+3)</f>
        <v/>
      </c>
      <c r="T101" s="5" t="n"/>
    </row>
  </sheetData>
  <autoFilter ref="A1:T101"/>
  <conditionalFormatting sqref="O2:O101">
    <cfRule type="expression" priority="1" dxfId="0">
      <formula>$O2="A"</formula>
    </cfRule>
    <cfRule type="expression" priority="2" dxfId="1">
      <formula>$O2="B"</formula>
    </cfRule>
    <cfRule type="expression" priority="3" dxfId="2">
      <formula>$O2="C"</formula>
    </cfRule>
  </conditionalFormatting>
  <conditionalFormatting sqref="A2:T101">
    <cfRule type="expression" priority="4" dxfId="3">
      <formula>$N2="Ausschluss"</formula>
    </cfRule>
  </conditionalFormatting>
  <conditionalFormatting sqref="S2:S101">
    <cfRule type="expression" priority="5" dxfId="4">
      <formula>AND($S2&lt;&gt;"",$S2&lt;=TODAY(),$Q2="Kontaktiert")</formula>
    </cfRule>
  </conditionalFormatting>
  <conditionalFormatting sqref="Q2:Q101">
    <cfRule type="expression" priority="6" dxfId="0">
      <formula>$Q2="Gewonnen"</formula>
    </cfRule>
  </conditionalFormatting>
  <dataValidations count="5">
    <dataValidation sqref="K2:L101" showDropDown="0" showInputMessage="0" showErrorMessage="0" allowBlank="1" error="Bitte einen gültigen Wert eintragen." type="list">
      <formula1>"Ja,Nein"</formula1>
    </dataValidation>
    <dataValidation sqref="Q2:Q101" showDropDown="0" showInputMessage="0" showErrorMessage="0" allowBlank="1" error="Bitte einen gültigen Wert eintragen." type="list">
      <formula1>"Neu,Recherchiert,Kontaktiert,Antwort,Call gebucht,Angebot geschickt,Gewonnen,Verloren,Kein Interesse"</formula1>
    </dataValidation>
    <dataValidation sqref="M2:M101" showDropDown="0" showInputMessage="1" showErrorMessage="0" allowBlank="1" error="Bitte einen gültigen Wert eintragen." prompt="1 = modern, 5 = sehr veraltet" type="whole" operator="between">
      <formula1>1</formula1>
      <formula2>5</formula2>
    </dataValidation>
    <dataValidation sqref="G2:G101" showDropDown="0" showInputMessage="1" showErrorMessage="0" allowBlank="1" error="Bitte einen gültigen Wert eintragen." prompt="Google-Bewertung, z.B. 4.7" type="decimal" operator="between">
      <formula1>1</formula1>
      <formula2>5</formula2>
    </dataValidation>
    <dataValidation sqref="J2:J101" showDropDown="0" showInputMessage="1" showErrorMessage="0" allowBlank="1" error="Bitte einen gültigen Wert eintragen." prompt="PageSpeed Insights, Wert 'Mobil' &gt; Leistung" type="whole" operator="between">
      <formula1>0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  <col width="20" customWidth="1" min="4" max="4"/>
    <col width="8" customWidth="1" min="5" max="5"/>
  </cols>
  <sheetData>
    <row r="1">
      <c r="A1" s="7" t="inlineStr">
        <is>
          <t>Lead-Tabelle: Roofing Texas</t>
        </is>
      </c>
      <c r="B1" s="8" t="n"/>
      <c r="D1" s="9" t="inlineStr">
        <is>
          <t>Pipeline</t>
        </is>
      </c>
    </row>
    <row r="2">
      <c r="A2" s="10" t="inlineStr">
        <is>
          <t>Ziel</t>
        </is>
      </c>
      <c r="B2" s="8" t="inlineStr">
        <is>
          <t>Gute Firmen mit schwachem Webauftritt finden: viele gute Reviews, aber alte, langsame oder schlecht bedienbare Website.</t>
        </is>
      </c>
      <c r="D2" t="inlineStr">
        <is>
          <t>Neu</t>
        </is>
      </c>
      <c r="E2">
        <f>COUNTIF(Leads!$Q$2:$Q$101,D2)</f>
        <v/>
      </c>
    </row>
    <row r="3">
      <c r="A3" s="10" t="inlineStr">
        <is>
          <t>Wo finden?</t>
        </is>
      </c>
      <c r="B3" s="8" t="inlineStr">
        <is>
          <t>Google Maps: 'roofing contractor [Stadt] TX' (Dallas, Fort Worth, Plano, Frisco, Houston, Austin, San Antonio …).</t>
        </is>
      </c>
      <c r="D3" t="inlineStr">
        <is>
          <t>Recherchiert</t>
        </is>
      </c>
      <c r="E3">
        <f>COUNTIF(Leads!$Q$2:$Q$101,D3)</f>
        <v/>
      </c>
    </row>
    <row r="4">
      <c r="A4" s="8" t="inlineStr"/>
      <c r="B4" s="8" t="n"/>
      <c r="D4" t="inlineStr">
        <is>
          <t>Kontaktiert</t>
        </is>
      </c>
      <c r="E4">
        <f>COUNTIF(Leads!$Q$2:$Q$101,D4)</f>
        <v/>
      </c>
    </row>
    <row r="5">
      <c r="A5" s="11" t="inlineStr">
        <is>
          <t>Spalte</t>
        </is>
      </c>
      <c r="B5" s="11" t="inlineStr">
        <is>
          <t>Was eintragen</t>
        </is>
      </c>
      <c r="D5" t="inlineStr">
        <is>
          <t>Antwort</t>
        </is>
      </c>
      <c r="E5">
        <f>COUNTIF(Leads!$Q$2:$Q$101,D5)</f>
        <v/>
      </c>
    </row>
    <row r="6">
      <c r="A6" s="10" t="inlineStr">
        <is>
          <t>Google ★ / Anzahl Reviews</t>
        </is>
      </c>
      <c r="B6" s="8" t="inlineStr">
        <is>
          <t>Direkt aus Google Maps. Unter 4,0 Sterne = automatisch 'Ausschluss'.</t>
        </is>
      </c>
      <c r="D6" t="inlineStr">
        <is>
          <t>Call gebucht</t>
        </is>
      </c>
      <c r="E6">
        <f>COUNTIF(Leads!$Q$2:$Q$101,D6)</f>
        <v/>
      </c>
    </row>
    <row r="7">
      <c r="A7" s="10" t="inlineStr">
        <is>
          <t>Letzte Review</t>
        </is>
      </c>
      <c r="B7" s="8" t="inlineStr">
        <is>
          <t>Datum der neuesten Bewertung. Innerhalb der letzten 90 Tage = Firma ist aktiv (+1 Punkt).</t>
        </is>
      </c>
      <c r="D7" t="inlineStr">
        <is>
          <t>Angebot geschickt</t>
        </is>
      </c>
      <c r="E7">
        <f>COUNTIF(Leads!$Q$2:$Q$101,D7)</f>
        <v/>
      </c>
    </row>
    <row r="8">
      <c r="A8" s="10" t="inlineStr">
        <is>
          <t>Mobile-Score</t>
        </is>
      </c>
      <c r="B8" s="8" t="inlineStr">
        <is>
          <t>pagespeed.web.dev → Website eingeben → Reiter 'Mobil' → Zahl bei 'Leistung'.</t>
        </is>
      </c>
      <c r="D8" t="inlineStr">
        <is>
          <t>Gewonnen</t>
        </is>
      </c>
      <c r="E8">
        <f>COUNTIF(Leads!$Q$2:$Q$101,D8)</f>
        <v/>
      </c>
    </row>
    <row r="9">
      <c r="A9" s="10" t="inlineStr">
        <is>
          <t>Click-to-Call?</t>
        </is>
      </c>
      <c r="B9" s="8" t="inlineStr">
        <is>
          <t>Am Handy öffnen: Kann man die Nummer direkt antippen und anrufen? Ja/Nein.</t>
        </is>
      </c>
      <c r="D9" t="inlineStr">
        <is>
          <t>Verloren</t>
        </is>
      </c>
      <c r="E9">
        <f>COUNTIF(Leads!$Q$2:$Q$101,D9)</f>
        <v/>
      </c>
    </row>
    <row r="10">
      <c r="A10" s="10" t="inlineStr">
        <is>
          <t>Anfrage-Formular / CTA?</t>
        </is>
      </c>
      <c r="B10" s="8" t="inlineStr">
        <is>
          <t>Gibt es oben sofort einen klaren Button/Formular für ein Angebot? Ja/Nein.</t>
        </is>
      </c>
      <c r="D10" t="inlineStr">
        <is>
          <t>Kein Interesse</t>
        </is>
      </c>
      <c r="E10">
        <f>COUNTIF(Leads!$Q$2:$Q$101,D10)</f>
        <v/>
      </c>
    </row>
    <row r="11">
      <c r="A11" s="10" t="inlineStr">
        <is>
          <t>Design veraltet (1-5)</t>
        </is>
      </c>
      <c r="B11" s="8" t="inlineStr">
        <is>
          <t>Bauchgefühl nach 10 Sekunden. 1 = modern, 5 = sieht aus wie 2010.</t>
        </is>
      </c>
      <c r="D11" s="12" t="inlineStr">
        <is>
          <t>Leads gesamt</t>
        </is>
      </c>
      <c r="E11" s="12">
        <f>COUNTA(Leads!$A$2:$A$101)</f>
        <v/>
      </c>
    </row>
    <row r="12">
      <c r="A12" s="10" t="inlineStr">
        <is>
          <t>Hauptproblem</t>
        </is>
      </c>
      <c r="B12" s="8" t="inlineStr">
        <is>
          <t>Ein Satz für die persönliche Nachricht, z.B. 'Nummer am Handy nicht antippbar, Seite lädt 9 Sek.'</t>
        </is>
      </c>
      <c r="D12" s="12" t="inlineStr">
        <is>
          <t>Priorität A</t>
        </is>
      </c>
      <c r="E12" s="12">
        <f>COUNTIF(Leads!$O$2:$O$101,"A")</f>
        <v/>
      </c>
    </row>
    <row r="13">
      <c r="A13" s="10" t="inlineStr">
        <is>
          <t>Status / Kontaktiert am</t>
        </is>
      </c>
      <c r="B13" s="8" t="inlineStr">
        <is>
          <t>Nach dem Anschreiben 'Kontaktiert' + Datum. Follow-up wird automatisch +3 Tage gesetzt und rot, wenn fällig.</t>
        </is>
      </c>
    </row>
    <row r="14">
      <c r="A14" s="8" t="inlineStr"/>
      <c r="B14" s="8" t="n"/>
    </row>
    <row r="15">
      <c r="A15" s="10" t="inlineStr">
        <is>
          <t>Grau hinterlegt</t>
        </is>
      </c>
      <c r="B15" s="8" t="inlineStr">
        <is>
          <t>Lead-Score, Priorität, Follow-up am: automatisch, nicht überschreiben.</t>
        </is>
      </c>
    </row>
    <row r="16">
      <c r="A16" s="10" t="inlineStr">
        <is>
          <t>Lead-Score (max. 11)</t>
        </is>
      </c>
      <c r="B16" s="8" t="inlineStr">
        <is>
          <t>Gute Firma: ★≥4,5 (+2), ≥50 Reviews (+2) bzw. ≥20 (+1), aktiv (+1). Schwache Website: Mobile &lt;50 (+2) bzw. &lt;70 (+1), kein Click-to-Call (+1), kein CTA (+1), Design 4–5 (+2) bzw. 3 (+1).</t>
        </is>
      </c>
    </row>
    <row r="17">
      <c r="A17" s="10" t="inlineStr">
        <is>
          <t>Priorität</t>
        </is>
      </c>
      <c r="B17" s="8" t="inlineStr">
        <is>
          <t>A = 8+ Punkte (zuerst anschreiben), B = 5–7, C = unter 5.</t>
        </is>
      </c>
    </row>
    <row r="18">
      <c r="A18" s="10" t="inlineStr">
        <is>
          <t>Regel</t>
        </is>
      </c>
      <c r="B18" s="8" t="inlineStr">
        <is>
          <t>Keine Daten erfinden, nur öffentlich sichtbare Infos. Keine privaten Handynummern oder E-Mails.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2026-09-28T14:51:46Z</dcterms:created>
  <dcterms:modified xmlns:dcterms="http://purl.org/dc/terms/" xmlns:xsi="http://www.w3.org/2001/XMLSchema-instance" xsi:type="dcterms:W3CDTF">2026-09-28T14:51:46Z</dcterms:modified>
</cp:coreProperties>
</file>