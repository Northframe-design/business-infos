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  <sheet xmlns:r="http://schemas.openxmlformats.org/officeDocument/2006/relationships" name="Übersicht" sheetId="2" state="visible" r:id="rId2"/>
  </sheets>
  <definedNames>
    <definedName name="_xlnm._FilterDatabase" localSheetId="0" hidden="1">'Tracker'!$A$1:$L$200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YY"/>
  </numFmts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  <color rgb="0024505A"/>
      <sz val="16"/>
    </font>
    <font>
      <i val="1"/>
      <color rgb="005B6776"/>
    </font>
    <font>
      <b val="1"/>
    </font>
    <font>
      <b val="1"/>
      <color rgb="0024505A"/>
      <sz val="12"/>
    </font>
    <font>
      <color rgb="001F2A37"/>
      <sz val="10"/>
    </font>
  </fonts>
  <fills count="3">
    <fill>
      <patternFill/>
    </fill>
    <fill>
      <patternFill patternType="gray125"/>
    </fill>
    <fill>
      <patternFill patternType="solid">
        <fgColor rgb="0024505A"/>
      </patternFill>
    </fill>
  </fills>
  <borders count="2">
    <border>
      <left/>
      <right/>
      <top/>
      <bottom/>
      <diagonal/>
    </border>
    <border>
      <bottom style="thin">
        <color rgb="00D9E1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1" pivotButton="0" quotePrefix="0" xfId="0"/>
    <xf numFmtId="164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9" fontId="0" fillId="0" borderId="0" pivotButton="0" quotePrefix="0" xfId="0"/>
    <xf numFmtId="0" fontId="1" fillId="2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10">
    <dxf>
      <font>
        <b val="1"/>
        <color rgb="009B1C12"/>
      </font>
      <fill>
        <patternFill patternType="solid">
          <fgColor rgb="00F8C9C4"/>
          <bgColor rgb="00F8C9C4"/>
        </patternFill>
      </fill>
    </dxf>
    <dxf>
      <font>
        <b val="1"/>
        <color rgb="009B1C12"/>
      </font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CFE2F3"/>
          <bgColor rgb="00CFE2F3"/>
        </patternFill>
      </fill>
    </dxf>
    <dxf>
      <fill>
        <patternFill patternType="solid">
          <fgColor rgb="00E7E6E6"/>
          <bgColor rgb="00E7E6E6"/>
        </patternFill>
      </fill>
    </dxf>
    <dxf>
      <fill>
        <patternFill patternType="solid">
          <fgColor rgb="00EFEFEF"/>
          <bgColor rgb="00EFEFEF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3F3F3"/>
          <bgColor rgb="00F3F3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34" customWidth="1" min="3" max="3"/>
    <col width="20" customWidth="1" min="4" max="4"/>
    <col width="14" customWidth="1" min="5" max="5"/>
    <col width="16" customWidth="1" min="6" max="6"/>
    <col width="20" customWidth="1" min="7" max="7"/>
    <col width="13" customWidth="1" min="8" max="8"/>
    <col width="16" customWidth="1" min="9" max="9"/>
    <col width="34" customWidth="1" min="10" max="10"/>
    <col width="36" customWidth="1" min="11" max="11"/>
    <col width="34" customWidth="1" min="12" max="12"/>
  </cols>
  <sheetData>
    <row r="1" ht="32" customHeight="1">
      <c r="A1" s="1" t="inlineStr">
        <is>
          <t>Firma</t>
        </is>
      </c>
      <c r="B1" s="1" t="inlineStr">
        <is>
          <t>Nische</t>
        </is>
      </c>
      <c r="C1" s="1" t="inlineStr">
        <is>
          <t>E-Mail</t>
        </is>
      </c>
      <c r="D1" s="1" t="inlineStr">
        <is>
          <t>Status</t>
        </is>
      </c>
      <c r="E1" s="1" t="inlineStr">
        <is>
          <t>Erstmail am</t>
        </is>
      </c>
      <c r="F1" s="1" t="inlineStr">
        <is>
          <t>Follow-up fällig</t>
        </is>
      </c>
      <c r="G1" s="1" t="inlineStr">
        <is>
          <t>Follow-up gesendet am</t>
        </is>
      </c>
      <c r="H1" s="1" t="inlineStr">
        <is>
          <t>Antwort am</t>
        </is>
      </c>
      <c r="I1" s="1" t="inlineStr">
        <is>
          <t>Antwort</t>
        </is>
      </c>
      <c r="J1" s="1" t="inlineStr">
        <is>
          <t>Nächster Schritt</t>
        </is>
      </c>
      <c r="K1" s="1" t="inlineStr">
        <is>
          <t>Mail-Datei</t>
        </is>
      </c>
      <c r="L1" s="1" t="inlineStr">
        <is>
          <t>Notizen</t>
        </is>
      </c>
    </row>
    <row r="2">
      <c r="A2" s="2" t="inlineStr">
        <is>
          <t>Jenkins Roofing</t>
        </is>
      </c>
      <c r="B2" s="2" t="inlineStr">
        <is>
          <t>Dachdecker</t>
        </is>
      </c>
      <c r="C2" s="2" t="inlineStr">
        <is>
          <t>info@jenkinsroofing.com</t>
        </is>
      </c>
      <c r="D2" s="2" t="inlineStr">
        <is>
          <t>Follow-up gesendet</t>
        </is>
      </c>
      <c r="E2" s="3" t="n">
        <v>46296</v>
      </c>
      <c r="F2" s="3">
        <f>IF(OR(E2="",G2&lt;&gt;"",H2&lt;&gt;""),"",WORKDAY(E2,5))</f>
        <v/>
      </c>
      <c r="G2" s="3" t="n">
        <v>46301</v>
      </c>
      <c r="H2" s="3" t="n"/>
      <c r="I2" s="2" t="n"/>
      <c r="J2" s="2">
        <f>IF(A2="","",IF(I2&lt;&gt;"","Antwort bearbeiten",IF(G2&lt;&gt;"",IF(TODAY()&gt;=WORKDAY(G2,7),"Als Keine Antwort abschließen","Warten auf Antwort"),IF(E2&lt;&gt;"",IF(TODAY()&gt;=F2,"Follow-up schreiben!","Warten bis Follow-up-Datum"),IF(D2="Versandbereit","Erstmail senden","Konzept fertigstellen")))))</f>
        <v/>
      </c>
      <c r="K2" s="2" t="inlineStr">
        <is>
          <t>03-Versandfertig</t>
        </is>
      </c>
      <c r="L2" s="2" t="inlineStr">
        <is>
          <t>Video: Papier-Theater</t>
        </is>
      </c>
    </row>
    <row r="3">
      <c r="A3" s="2" t="inlineStr">
        <is>
          <t>Evans &amp; Horton Roofing</t>
        </is>
      </c>
      <c r="B3" s="2" t="inlineStr">
        <is>
          <t>Dachdecker</t>
        </is>
      </c>
      <c r="C3" s="2" t="inlineStr">
        <is>
          <t>info@evansandhorton.com</t>
        </is>
      </c>
      <c r="D3" s="2" t="inlineStr">
        <is>
          <t>Follow-up gesendet</t>
        </is>
      </c>
      <c r="E3" s="3" t="n">
        <v>46296</v>
      </c>
      <c r="F3" s="3">
        <f>IF(OR(E3="",G3&lt;&gt;"",H3&lt;&gt;""),"",WORKDAY(E3,5))</f>
        <v/>
      </c>
      <c r="G3" s="3" t="n">
        <v>46302</v>
      </c>
      <c r="H3" s="3" t="n"/>
      <c r="I3" s="2" t="n"/>
      <c r="J3" s="2">
        <f>IF(A3="","",IF(I3&lt;&gt;"","Antwort bearbeiten",IF(G3&lt;&gt;"",IF(TODAY()&gt;=WORKDAY(G3,7),"Als Keine Antwort abschließen","Warten auf Antwort"),IF(E3&lt;&gt;"",IF(TODAY()&gt;=F3,"Follow-up schreiben!","Warten bis Follow-up-Datum"),IF(D3="Versandbereit","Erstmail senden","Konzept fertigstellen")))))</f>
        <v/>
      </c>
      <c r="K3" s="2" t="inlineStr">
        <is>
          <t>03-Versandfertig</t>
        </is>
      </c>
      <c r="L3" s="2" t="inlineStr">
        <is>
          <t>Video: Handy-Story 9:16</t>
        </is>
      </c>
    </row>
    <row r="4">
      <c r="A4" s="2" t="inlineStr">
        <is>
          <t>JCI Roofing</t>
        </is>
      </c>
      <c r="B4" s="2" t="inlineStr">
        <is>
          <t>Dachdecker</t>
        </is>
      </c>
      <c r="C4" s="2" t="inlineStr"/>
      <c r="D4" s="2" t="inlineStr">
        <is>
          <t>In Bearbeitung</t>
        </is>
      </c>
      <c r="E4" s="3" t="n"/>
      <c r="F4" s="3">
        <f>IF(OR(E4="",G4&lt;&gt;"",H4&lt;&gt;""),"",WORKDAY(E4,5))</f>
        <v/>
      </c>
      <c r="G4" s="3" t="n"/>
      <c r="H4" s="3" t="n"/>
      <c r="I4" s="2" t="n"/>
      <c r="J4" s="2">
        <f>IF(A4="","",IF(I4&lt;&gt;"","Antwort bearbeiten",IF(G4&lt;&gt;"",IF(TODAY()&gt;=WORKDAY(G4,7),"Als Keine Antwort abschließen","Warten auf Antwort"),IF(E4&lt;&gt;"",IF(TODAY()&gt;=F4,"Follow-up schreiben!","Warten bis Follow-up-Datum"),IF(D4="Versandbereit","Erstmail senden","Konzept fertigstellen")))))</f>
        <v/>
      </c>
      <c r="K4" s="2" t="inlineStr">
        <is>
          <t>03-Versandfertig</t>
        </is>
      </c>
      <c r="L4" s="2" t="inlineStr">
        <is>
          <t>E-Mail-Adresse fehlt</t>
        </is>
      </c>
    </row>
    <row r="5">
      <c r="A5" s="2" t="inlineStr">
        <is>
          <t>Ft Worth Fence &amp; Patio</t>
        </is>
      </c>
      <c r="B5" s="2" t="inlineStr">
        <is>
          <t>Zaun &amp; Terrasse</t>
        </is>
      </c>
      <c r="C5" s="2" t="inlineStr">
        <is>
          <t>sales@ftworthfenceandpatio.com</t>
        </is>
      </c>
      <c r="D5" s="2" t="inlineStr">
        <is>
          <t>Follow-up gesendet</t>
        </is>
      </c>
      <c r="E5" s="3" t="n">
        <v>46297</v>
      </c>
      <c r="F5" s="3">
        <f>IF(OR(E5="",G5&lt;&gt;"",H5&lt;&gt;""),"",WORKDAY(E5,5))</f>
        <v/>
      </c>
      <c r="G5" s="3" t="n">
        <v>46301</v>
      </c>
      <c r="H5" s="3" t="n"/>
      <c r="I5" s="2" t="n"/>
      <c r="J5" s="2">
        <f>IF(A5="","",IF(I5&lt;&gt;"","Antwort bearbeiten",IF(G5&lt;&gt;"",IF(TODAY()&gt;=WORKDAY(G5,7),"Als Keine Antwort abschließen","Warten auf Antwort"),IF(E5&lt;&gt;"",IF(TODAY()&gt;=F5,"Follow-up schreiben!","Warten bis Follow-up-Datum"),IF(D5="Versandbereit","Erstmail senden","Konzept fertigstellen")))))</f>
        <v/>
      </c>
      <c r="K5" s="2" t="inlineStr">
        <is>
          <t>04-Versandfertig-Bright-Tree-Fence</t>
        </is>
      </c>
      <c r="L5" s="2" t="inlineStr"/>
    </row>
    <row r="6">
      <c r="A6" s="2" t="inlineStr">
        <is>
          <t>Bright Tree Service</t>
        </is>
      </c>
      <c r="B6" s="2" t="inlineStr">
        <is>
          <t>Baumpflege</t>
        </is>
      </c>
      <c r="C6" s="2" t="inlineStr">
        <is>
          <t>info@brighttreeservice.com</t>
        </is>
      </c>
      <c r="D6" s="2" t="inlineStr">
        <is>
          <t>Follow-up gesendet</t>
        </is>
      </c>
      <c r="E6" s="3" t="n">
        <v>46297</v>
      </c>
      <c r="F6" s="3">
        <f>IF(OR(E6="",G6&lt;&gt;"",H6&lt;&gt;""),"",WORKDAY(E6,5))</f>
        <v/>
      </c>
      <c r="G6" s="3" t="n">
        <v>46302</v>
      </c>
      <c r="H6" s="3" t="n"/>
      <c r="I6" s="2" t="n"/>
      <c r="J6" s="2">
        <f>IF(A6="","",IF(I6&lt;&gt;"","Antwort bearbeiten",IF(G6&lt;&gt;"",IF(TODAY()&gt;=WORKDAY(G6,7),"Als Keine Antwort abschließen","Warten auf Antwort"),IF(E6&lt;&gt;"",IF(TODAY()&gt;=F6,"Follow-up schreiben!","Warten bis Follow-up-Datum"),IF(D6="Versandbereit","Erstmail senden","Konzept fertigstellen")))))</f>
        <v/>
      </c>
      <c r="K6" s="2" t="inlineStr">
        <is>
          <t>04-Versandfertig-Bright-Tree-Fence</t>
        </is>
      </c>
      <c r="L6" s="2" t="inlineStr"/>
    </row>
    <row r="7">
      <c r="A7" s="2" t="inlineStr">
        <is>
          <t>American Air Customs</t>
        </is>
      </c>
      <c r="B7" s="2" t="inlineStr">
        <is>
          <t>HVAC</t>
        </is>
      </c>
      <c r="C7" s="2" t="inlineStr">
        <is>
          <t>americanaircustoms@yahoo.com</t>
        </is>
      </c>
      <c r="D7" s="2" t="inlineStr">
        <is>
          <t>Follow-up gesendet</t>
        </is>
      </c>
      <c r="E7" s="3" t="n">
        <v>46297</v>
      </c>
      <c r="F7" s="3">
        <f>IF(OR(E7="",G7&lt;&gt;"",H7&lt;&gt;""),"",WORKDAY(E7,5))</f>
        <v/>
      </c>
      <c r="G7" s="3" t="n">
        <v>46302</v>
      </c>
      <c r="H7" s="3" t="n"/>
      <c r="I7" s="2" t="n"/>
      <c r="J7" s="2">
        <f>IF(A7="","",IF(I7&lt;&gt;"","Antwort bearbeiten",IF(G7&lt;&gt;"",IF(TODAY()&gt;=WORKDAY(G7,7),"Als Keine Antwort abschließen","Warten auf Antwort"),IF(E7&lt;&gt;"",IF(TODAY()&gt;=F7,"Follow-up schreiben!","Warten bis Follow-up-Datum"),IF(D7="Versandbereit","Erstmail senden","Konzept fertigstellen")))))</f>
        <v/>
      </c>
      <c r="K7" s="2" t="inlineStr">
        <is>
          <t>05-Versandfertig-American-Air-Customs</t>
        </is>
      </c>
      <c r="L7" s="2" t="inlineStr"/>
    </row>
    <row r="8">
      <c r="A8" s="2" t="inlineStr">
        <is>
          <t>Kelly's Pool Care</t>
        </is>
      </c>
      <c r="B8" s="2" t="inlineStr">
        <is>
          <t>Pool</t>
        </is>
      </c>
      <c r="C8" s="2" t="inlineStr">
        <is>
          <t>info@kellyspoolcare.com</t>
        </is>
      </c>
      <c r="D8" s="2" t="inlineStr">
        <is>
          <t>Follow-up gesendet</t>
        </is>
      </c>
      <c r="E8" s="3" t="n">
        <v>46298</v>
      </c>
      <c r="F8" s="3">
        <f>IF(OR(E8="",G8&lt;&gt;"",H8&lt;&gt;""),"",WORKDAY(E8,5))</f>
        <v/>
      </c>
      <c r="G8" s="3" t="n">
        <v>46303</v>
      </c>
      <c r="H8" s="3" t="n"/>
      <c r="I8" s="2" t="n"/>
      <c r="J8" s="2">
        <f>IF(A8="","",IF(I8&lt;&gt;"","Antwort bearbeiten",IF(G8&lt;&gt;"",IF(TODAY()&gt;=WORKDAY(G8,7),"Als Keine Antwort abschließen","Warten auf Antwort"),IF(E8&lt;&gt;"",IF(TODAY()&gt;=F8,"Follow-up schreiben!","Warten bis Follow-up-Datum"),IF(D8="Versandbereit","Erstmail senden","Konzept fertigstellen")))))</f>
        <v/>
      </c>
      <c r="K8" s="2" t="inlineStr">
        <is>
          <t>06-Versandfertig-Kellys-Pool-Care</t>
        </is>
      </c>
      <c r="L8" s="2" t="inlineStr"/>
    </row>
    <row r="9">
      <c r="A9" s="2" t="inlineStr">
        <is>
          <t>Structured Foundation Repairs</t>
        </is>
      </c>
      <c r="B9" s="2" t="inlineStr">
        <is>
          <t>Fundament</t>
        </is>
      </c>
      <c r="C9" s="2" t="inlineStr">
        <is>
          <t>info@structuredfoundation.com</t>
        </is>
      </c>
      <c r="D9" s="2" t="inlineStr">
        <is>
          <t>Follow-up gesendet</t>
        </is>
      </c>
      <c r="E9" s="3" t="n">
        <v>46300</v>
      </c>
      <c r="F9" s="3">
        <f>IF(OR(E9="",G9&lt;&gt;"",H9&lt;&gt;""),"",WORKDAY(E9,5))</f>
        <v/>
      </c>
      <c r="G9" s="3" t="n">
        <v>46305</v>
      </c>
      <c r="H9" s="3" t="n"/>
      <c r="I9" s="2" t="n"/>
      <c r="J9" s="2">
        <f>IF(A9="","",IF(I9&lt;&gt;"","Antwort bearbeiten",IF(G9&lt;&gt;"",IF(TODAY()&gt;=WORKDAY(G9,7),"Als Keine Antwort abschließen","Warten auf Antwort"),IF(E9&lt;&gt;"",IF(TODAY()&gt;=F9,"Follow-up schreiben!","Warten bis Follow-up-Datum"),IF(D9="Versandbereit","Erstmail senden","Konzept fertigstellen")))))</f>
        <v/>
      </c>
      <c r="K9" s="2" t="inlineStr">
        <is>
          <t>07-Versandfertig-Structured-Foundation</t>
        </is>
      </c>
      <c r="L9" s="2" t="inlineStr">
        <is>
          <t>Follow-up 10.10. verschickt</t>
        </is>
      </c>
    </row>
    <row r="10">
      <c r="A10" s="2" t="inlineStr">
        <is>
          <t>Garland Heating and Air Conditioning</t>
        </is>
      </c>
      <c r="B10" s="2" t="inlineStr">
        <is>
          <t>HVAC</t>
        </is>
      </c>
      <c r="C10" s="2" t="inlineStr">
        <is>
          <t>info@garlandheatingandair.com</t>
        </is>
      </c>
      <c r="D10" s="2" t="inlineStr">
        <is>
          <t>Follow-up gesendet</t>
        </is>
      </c>
      <c r="E10" s="3" t="n">
        <v>46300</v>
      </c>
      <c r="F10" s="3">
        <f>IF(OR(E10="",G10&lt;&gt;"",H10&lt;&gt;""),"",WORKDAY(E10,5))</f>
        <v/>
      </c>
      <c r="G10" s="3" t="n">
        <v>46305</v>
      </c>
      <c r="H10" s="3" t="n"/>
      <c r="I10" s="2" t="n"/>
      <c r="J10" s="2">
        <f>IF(A10="","",IF(I10&lt;&gt;"","Antwort bearbeiten",IF(G10&lt;&gt;"",IF(TODAY()&gt;=WORKDAY(G10,7),"Als Keine Antwort abschließen","Warten auf Antwort"),IF(E10&lt;&gt;"",IF(TODAY()&gt;=F10,"Follow-up schreiben!","Warten bis Follow-up-Datum"),IF(D10="Versandbereit","Erstmail senden","Konzept fertigstellen")))))</f>
        <v/>
      </c>
      <c r="K10" s="2" t="inlineStr">
        <is>
          <t>08-Versandfertig-HVAC</t>
        </is>
      </c>
      <c r="L10" s="2" t="inlineStr">
        <is>
          <t>Follow-up 10.10. verschickt</t>
        </is>
      </c>
    </row>
    <row r="11">
      <c r="A11" s="2" t="inlineStr">
        <is>
          <t>Just Right Air &amp; Heat</t>
        </is>
      </c>
      <c r="B11" s="2" t="inlineStr">
        <is>
          <t>HVAC</t>
        </is>
      </c>
      <c r="C11" s="2" t="inlineStr">
        <is>
          <t>justrightairheat@gmail.com</t>
        </is>
      </c>
      <c r="D11" s="2" t="inlineStr">
        <is>
          <t>Follow-up gesendet</t>
        </is>
      </c>
      <c r="E11" s="3" t="n">
        <v>46300</v>
      </c>
      <c r="F11" s="3">
        <f>IF(OR(E11="",G11&lt;&gt;"",H11&lt;&gt;""),"",WORKDAY(E11,5))</f>
        <v/>
      </c>
      <c r="G11" s="3" t="n">
        <v>46305</v>
      </c>
      <c r="H11" s="3" t="n"/>
      <c r="I11" s="2" t="n"/>
      <c r="J11" s="2">
        <f>IF(A11="","",IF(I11&lt;&gt;"","Antwort bearbeiten",IF(G11&lt;&gt;"",IF(TODAY()&gt;=WORKDAY(G11,7),"Als Keine Antwort abschließen","Warten auf Antwort"),IF(E11&lt;&gt;"",IF(TODAY()&gt;=F11,"Follow-up schreiben!","Warten bis Follow-up-Datum"),IF(D11="Versandbereit","Erstmail senden","Konzept fertigstellen")))))</f>
        <v/>
      </c>
      <c r="K11" s="2" t="inlineStr">
        <is>
          <t>08-Versandfertig-HVAC</t>
        </is>
      </c>
      <c r="L11" s="2" t="inlineStr">
        <is>
          <t>Follow-up 10.10. verschickt</t>
        </is>
      </c>
    </row>
    <row r="12">
      <c r="A12" s="2" t="inlineStr">
        <is>
          <t>A/C Service &amp; Repairs Co.</t>
        </is>
      </c>
      <c r="B12" s="2" t="inlineStr">
        <is>
          <t>HVAC</t>
        </is>
      </c>
      <c r="C12" s="2" t="inlineStr">
        <is>
          <t>russ@acserviceandrepairs.com</t>
        </is>
      </c>
      <c r="D12" s="2" t="inlineStr">
        <is>
          <t>Follow-up gesendet</t>
        </is>
      </c>
      <c r="E12" s="3" t="n">
        <v>46300</v>
      </c>
      <c r="F12" s="3">
        <f>IF(OR(E12="",G12&lt;&gt;"",H12&lt;&gt;""),"",WORKDAY(E12,5))</f>
        <v/>
      </c>
      <c r="G12" s="3" t="n">
        <v>46305</v>
      </c>
      <c r="H12" s="3" t="n"/>
      <c r="I12" s="2" t="n"/>
      <c r="J12" s="2">
        <f>IF(A12="","",IF(I12&lt;&gt;"","Antwort bearbeiten",IF(G12&lt;&gt;"",IF(TODAY()&gt;=WORKDAY(G12,7),"Als Keine Antwort abschließen","Warten auf Antwort"),IF(E12&lt;&gt;"",IF(TODAY()&gt;=F12,"Follow-up schreiben!","Warten bis Follow-up-Datum"),IF(D12="Versandbereit","Erstmail senden","Konzept fertigstellen")))))</f>
        <v/>
      </c>
      <c r="K12" s="2" t="inlineStr">
        <is>
          <t>08-Versandfertig-HVAC</t>
        </is>
      </c>
      <c r="L12" s="2" t="inlineStr">
        <is>
          <t>Follow-up 10.10. verschickt</t>
        </is>
      </c>
    </row>
    <row r="13">
      <c r="A13" s="2" t="inlineStr">
        <is>
          <t>Hector Torres HVAC</t>
        </is>
      </c>
      <c r="B13" s="2" t="inlineStr">
        <is>
          <t>HVAC</t>
        </is>
      </c>
      <c r="C13" s="2" t="inlineStr">
        <is>
          <t>iraelt@hotmail.com</t>
        </is>
      </c>
      <c r="D13" s="2" t="inlineStr">
        <is>
          <t>Follow-up gesendet</t>
        </is>
      </c>
      <c r="E13" s="3" t="n">
        <v>46300</v>
      </c>
      <c r="F13" s="3">
        <f>IF(OR(E13="",G13&lt;&gt;"",H13&lt;&gt;""),"",WORKDAY(E13,5))</f>
        <v/>
      </c>
      <c r="G13" s="3" t="n">
        <v>46305</v>
      </c>
      <c r="H13" s="3" t="n"/>
      <c r="I13" s="2" t="n"/>
      <c r="J13" s="2">
        <f>IF(A13="","",IF(I13&lt;&gt;"","Antwort bearbeiten",IF(G13&lt;&gt;"",IF(TODAY()&gt;=WORKDAY(G13,7),"Als Keine Antwort abschließen","Warten auf Antwort"),IF(E13&lt;&gt;"",IF(TODAY()&gt;=F13,"Follow-up schreiben!","Warten bis Follow-up-Datum"),IF(D13="Versandbereit","Erstmail senden","Konzept fertigstellen")))))</f>
        <v/>
      </c>
      <c r="K13" s="2" t="inlineStr">
        <is>
          <t>08-Versandfertig-HVAC</t>
        </is>
      </c>
      <c r="L13" s="2" t="inlineStr">
        <is>
          <t>Follow-up 10.10. verschickt</t>
        </is>
      </c>
    </row>
    <row r="14">
      <c r="A14" s="2" t="inlineStr">
        <is>
          <t>conduit architecture + design</t>
        </is>
      </c>
      <c r="B14" s="2" t="inlineStr">
        <is>
          <t>Architektur</t>
        </is>
      </c>
      <c r="C14" s="2" t="inlineStr">
        <is>
          <t>info@conduitad.com</t>
        </is>
      </c>
      <c r="D14" s="2" t="inlineStr">
        <is>
          <t>Abgeschickt</t>
        </is>
      </c>
      <c r="E14" s="3" t="n">
        <v>46302</v>
      </c>
      <c r="F14" s="3">
        <f>IF(OR(E14="",G14&lt;&gt;"",H14&lt;&gt;""),"",WORKDAY(E14,5))</f>
        <v/>
      </c>
      <c r="G14" s="3" t="n"/>
      <c r="H14" s="3" t="n"/>
      <c r="I14" s="2" t="n"/>
      <c r="J14" s="2">
        <f>IF(A14="","",IF(I14&lt;&gt;"","Antwort bearbeiten",IF(G14&lt;&gt;"",IF(TODAY()&gt;=WORKDAY(G14,7),"Als Keine Antwort abschließen","Warten auf Antwort"),IF(E14&lt;&gt;"",IF(TODAY()&gt;=F14,"Follow-up schreiben!","Warten bis Follow-up-Datum"),IF(D14="Versandbereit","Erstmail senden","Konzept fertigstellen")))))</f>
        <v/>
      </c>
      <c r="K14" s="2" t="inlineStr">
        <is>
          <t>09-Versandfertig-Architektur</t>
        </is>
      </c>
      <c r="L14" s="2" t="inlineStr">
        <is>
          <t>Follow-up liegt im Zoho-Postausgang (geplant)</t>
        </is>
      </c>
    </row>
    <row r="15">
      <c r="A15" s="2" t="inlineStr">
        <is>
          <t>Peck Architects</t>
        </is>
      </c>
      <c r="B15" s="2" t="inlineStr">
        <is>
          <t>Architektur</t>
        </is>
      </c>
      <c r="C15" s="2" t="inlineStr">
        <is>
          <t>bill@peckarchitects.com</t>
        </is>
      </c>
      <c r="D15" s="2" t="inlineStr">
        <is>
          <t>Abgeschickt</t>
        </is>
      </c>
      <c r="E15" s="3" t="n">
        <v>46305</v>
      </c>
      <c r="F15" s="3">
        <f>IF(OR(E15="",G15&lt;&gt;"",H15&lt;&gt;""),"",WORKDAY(E15,5))</f>
        <v/>
      </c>
      <c r="G15" s="3" t="n"/>
      <c r="H15" s="3" t="n"/>
      <c r="I15" s="2" t="n"/>
      <c r="J15" s="2">
        <f>IF(A15="","",IF(I15&lt;&gt;"","Antwort bearbeiten",IF(G15&lt;&gt;"",IF(TODAY()&gt;=WORKDAY(G15,7),"Als Keine Antwort abschließen","Warten auf Antwort"),IF(E15&lt;&gt;"",IF(TODAY()&gt;=F15,"Follow-up schreiben!","Warten bis Follow-up-Datum"),IF(D15="Versandbereit","Erstmail senden","Konzept fertigstellen")))))</f>
        <v/>
      </c>
      <c r="K15" s="2" t="inlineStr">
        <is>
          <t>09-Versandfertig-Architektur</t>
        </is>
      </c>
      <c r="L15" s="2" t="inlineStr">
        <is>
          <t>Erstmail 10.10. verschickt (laut Zoho "Gesendet")</t>
        </is>
      </c>
    </row>
    <row r="16">
      <c r="A16" s="2" t="inlineStr">
        <is>
          <t>Boothe Architects</t>
        </is>
      </c>
      <c r="B16" s="2" t="inlineStr">
        <is>
          <t>Architektur</t>
        </is>
      </c>
      <c r="C16" s="2" t="inlineStr">
        <is>
          <t>ray@boothearchitects.com</t>
        </is>
      </c>
      <c r="D16" s="2" t="inlineStr">
        <is>
          <t>Abgeschickt</t>
        </is>
      </c>
      <c r="E16" s="3" t="n">
        <v>46305</v>
      </c>
      <c r="F16" s="3">
        <f>IF(OR(E16="",G16&lt;&gt;"",H16&lt;&gt;""),"",WORKDAY(E16,5))</f>
        <v/>
      </c>
      <c r="G16" s="3" t="n"/>
      <c r="H16" s="3" t="n"/>
      <c r="I16" s="2" t="n"/>
      <c r="J16" s="2">
        <f>IF(A16="","",IF(I16&lt;&gt;"","Antwort bearbeiten",IF(G16&lt;&gt;"",IF(TODAY()&gt;=WORKDAY(G16,7),"Als Keine Antwort abschließen","Warten auf Antwort"),IF(E16&lt;&gt;"",IF(TODAY()&gt;=F16,"Follow-up schreiben!","Warten bis Follow-up-Datum"),IF(D16="Versandbereit","Erstmail senden","Konzept fertigstellen")))))</f>
        <v/>
      </c>
      <c r="K16" s="2" t="inlineStr">
        <is>
          <t>09-Versandfertig-Architektur</t>
        </is>
      </c>
      <c r="L16" s="2" t="inlineStr">
        <is>
          <t>Erstmail 10.10. verschickt (laut Zoho "Gesendet")</t>
        </is>
      </c>
    </row>
    <row r="17">
      <c r="A17" s="2" t="inlineStr">
        <is>
          <t>Laurie Murphy Architect</t>
        </is>
      </c>
      <c r="B17" s="2" t="inlineStr">
        <is>
          <t>Architektur</t>
        </is>
      </c>
      <c r="C17" s="2" t="inlineStr">
        <is>
          <t>lmurphy@lmurphyarchitect.com</t>
        </is>
      </c>
      <c r="D17" s="2" t="inlineStr">
        <is>
          <t>Abgeschickt</t>
        </is>
      </c>
      <c r="E17" s="3" t="n">
        <v>46305</v>
      </c>
      <c r="F17" s="3">
        <f>IF(OR(E17="",G17&lt;&gt;"",H17&lt;&gt;""),"",WORKDAY(E17,5))</f>
        <v/>
      </c>
      <c r="G17" s="3" t="n"/>
      <c r="H17" s="3" t="n"/>
      <c r="I17" s="2" t="n"/>
      <c r="J17" s="2">
        <f>IF(A17="","",IF(I17&lt;&gt;"","Antwort bearbeiten",IF(G17&lt;&gt;"",IF(TODAY()&gt;=WORKDAY(G17,7),"Als Keine Antwort abschließen","Warten auf Antwort"),IF(E17&lt;&gt;"",IF(TODAY()&gt;=F17,"Follow-up schreiben!","Warten bis Follow-up-Datum"),IF(D17="Versandbereit","Erstmail senden","Konzept fertigstellen")))))</f>
        <v/>
      </c>
      <c r="K17" s="2" t="inlineStr">
        <is>
          <t>09-Versandfertig-Architektur</t>
        </is>
      </c>
      <c r="L17" s="2" t="inlineStr">
        <is>
          <t>Erstmail 10.10. verschickt (laut Zoho "Gesendet")</t>
        </is>
      </c>
    </row>
    <row r="18">
      <c r="A18" s="2" t="inlineStr">
        <is>
          <t>Magee Architects</t>
        </is>
      </c>
      <c r="B18" s="2" t="inlineStr">
        <is>
          <t>Architektur</t>
        </is>
      </c>
      <c r="C18" s="2" t="inlineStr">
        <is>
          <t>marchitects@magee-architects.com</t>
        </is>
      </c>
      <c r="D18" s="2" t="inlineStr">
        <is>
          <t>Abgeschickt</t>
        </is>
      </c>
      <c r="E18" s="3" t="n">
        <v>46305</v>
      </c>
      <c r="F18" s="3">
        <f>IF(OR(E18="",G18&lt;&gt;"",H18&lt;&gt;""),"",WORKDAY(E18,5))</f>
        <v/>
      </c>
      <c r="G18" s="3" t="n"/>
      <c r="H18" s="3" t="n"/>
      <c r="I18" s="2" t="n"/>
      <c r="J18" s="2">
        <f>IF(A18="","",IF(I18&lt;&gt;"","Antwort bearbeiten",IF(G18&lt;&gt;"",IF(TODAY()&gt;=WORKDAY(G18,7),"Als Keine Antwort abschließen","Warten auf Antwort"),IF(E18&lt;&gt;"",IF(TODAY()&gt;=F18,"Follow-up schreiben!","Warten bis Follow-up-Datum"),IF(D18="Versandbereit","Erstmail senden","Konzept fertigstellen")))))</f>
        <v/>
      </c>
      <c r="K18" s="2" t="inlineStr">
        <is>
          <t>09-Versandfertig-Architektur</t>
        </is>
      </c>
      <c r="L18" s="2" t="inlineStr">
        <is>
          <t>Erstmail 10.10. verschickt (laut Zoho "Gesendet")</t>
        </is>
      </c>
    </row>
    <row r="19">
      <c r="A19" s="2" t="inlineStr">
        <is>
          <t>Bush Architects</t>
        </is>
      </c>
      <c r="B19" s="2" t="inlineStr">
        <is>
          <t>Architektur</t>
        </is>
      </c>
      <c r="C19" s="2" t="inlineStr">
        <is>
          <t>contact@busharchitects.design</t>
        </is>
      </c>
      <c r="D19" s="2" t="inlineStr">
        <is>
          <t>Abgeschickt</t>
        </is>
      </c>
      <c r="E19" s="3" t="n">
        <v>46305</v>
      </c>
      <c r="F19" s="3">
        <f>IF(OR(E19="",G19&lt;&gt;"",H19&lt;&gt;""),"",WORKDAY(E19,5))</f>
        <v/>
      </c>
      <c r="G19" s="3" t="n"/>
      <c r="H19" s="3" t="n"/>
      <c r="I19" s="2" t="n"/>
      <c r="J19" s="2">
        <f>IF(A19="","",IF(I19&lt;&gt;"","Antwort bearbeiten",IF(G19&lt;&gt;"",IF(TODAY()&gt;=WORKDAY(G19,7),"Als Keine Antwort abschließen","Warten auf Antwort"),IF(E19&lt;&gt;"",IF(TODAY()&gt;=F19,"Follow-up schreiben!","Warten bis Follow-up-Datum"),IF(D19="Versandbereit","Erstmail senden","Konzept fertigstellen")))))</f>
        <v/>
      </c>
      <c r="K19" s="2" t="inlineStr">
        <is>
          <t>09-Versandfertig-Architektur</t>
        </is>
      </c>
      <c r="L19" s="2" t="inlineStr">
        <is>
          <t>Erstmail 10.10. verschickt (laut Zoho "Gesendet")</t>
        </is>
      </c>
    </row>
    <row r="20">
      <c r="A20" s="2" t="inlineStr">
        <is>
          <t>A.GRUPPO Architects</t>
        </is>
      </c>
      <c r="B20" s="2" t="inlineStr">
        <is>
          <t>Architektur</t>
        </is>
      </c>
      <c r="C20" s="2" t="inlineStr">
        <is>
          <t>thad@agruppo.com</t>
        </is>
      </c>
      <c r="D20" s="2" t="inlineStr">
        <is>
          <t>Abgeschickt</t>
        </is>
      </c>
      <c r="E20" s="3" t="n">
        <v>46305</v>
      </c>
      <c r="F20" s="3">
        <f>IF(OR(E20="",G20&lt;&gt;"",H20&lt;&gt;""),"",WORKDAY(E20,5))</f>
        <v/>
      </c>
      <c r="G20" s="3" t="n"/>
      <c r="H20" s="3" t="n"/>
      <c r="I20" s="2" t="n"/>
      <c r="J20" s="2">
        <f>IF(A20="","",IF(I20&lt;&gt;"","Antwort bearbeiten",IF(G20&lt;&gt;"",IF(TODAY()&gt;=WORKDAY(G20,7),"Als Keine Antwort abschließen","Warten auf Antwort"),IF(E20&lt;&gt;"",IF(TODAY()&gt;=F20,"Follow-up schreiben!","Warten bis Follow-up-Datum"),IF(D20="Versandbereit","Erstmail senden","Konzept fertigstellen")))))</f>
        <v/>
      </c>
      <c r="K20" s="2" t="inlineStr">
        <is>
          <t>09-Versandfertig-Architektur</t>
        </is>
      </c>
      <c r="L20" s="2" t="inlineStr">
        <is>
          <t>Erstmail 10.10. verschickt (laut Zoho "Gesendet")</t>
        </is>
      </c>
    </row>
    <row r="21">
      <c r="A21" s="2" t="inlineStr">
        <is>
          <t>Royal Flush Plumbing</t>
        </is>
      </c>
      <c r="B21" s="2" t="inlineStr">
        <is>
          <t>Klempner</t>
        </is>
      </c>
      <c r="C21" s="2" t="inlineStr">
        <is>
          <t>rfplumber@yahoo.com</t>
        </is>
      </c>
      <c r="D21" s="2" t="inlineStr">
        <is>
          <t>Abgeschickt</t>
        </is>
      </c>
      <c r="E21" s="3" t="n">
        <v>46304</v>
      </c>
      <c r="F21" s="3">
        <f>IF(OR(E21="",G21&lt;&gt;"",H21&lt;&gt;""),"",WORKDAY(E21,5))</f>
        <v/>
      </c>
      <c r="G21" s="3" t="n"/>
      <c r="H21" s="3" t="n"/>
      <c r="I21" s="2" t="n"/>
      <c r="J21" s="2">
        <f>IF(A21="","",IF(I21&lt;&gt;"","Antwort bearbeiten",IF(G21&lt;&gt;"",IF(TODAY()&gt;=WORKDAY(G21,7),"Als Keine Antwort abschließen","Warten auf Antwort"),IF(E21&lt;&gt;"",IF(TODAY()&gt;=F21,"Follow-up schreiben!","Warten bis Follow-up-Datum"),IF(D21="Versandbereit","Erstmail senden","Konzept fertigstellen")))))</f>
        <v/>
      </c>
      <c r="K21" s="2" t="inlineStr">
        <is>
          <t>10-Versandfertig-Handwerk</t>
        </is>
      </c>
      <c r="L21" s="2" t="inlineStr">
        <is>
          <t>PDF angehängt; Scroll-Video erst nach einem Ja; Follow-up liegt im Zoho-Postausgang (geplant)</t>
        </is>
      </c>
    </row>
    <row r="22">
      <c r="A22" s="2" t="inlineStr">
        <is>
          <t>KPS Electric</t>
        </is>
      </c>
      <c r="B22" s="2" t="inlineStr">
        <is>
          <t>Elektriker</t>
        </is>
      </c>
      <c r="C22" s="2" t="inlineStr">
        <is>
          <t>kpselectricllc@yahoo.com</t>
        </is>
      </c>
      <c r="D22" s="2" t="inlineStr">
        <is>
          <t>Abgeschickt</t>
        </is>
      </c>
      <c r="E22" s="3" t="n">
        <v>46304</v>
      </c>
      <c r="F22" s="3">
        <f>IF(OR(E22="",G22&lt;&gt;"",H22&lt;&gt;""),"",WORKDAY(E22,5))</f>
        <v/>
      </c>
      <c r="G22" s="3" t="n"/>
      <c r="H22" s="3" t="n"/>
      <c r="I22" s="2" t="n"/>
      <c r="J22" s="2">
        <f>IF(A22="","",IF(I22&lt;&gt;"","Antwort bearbeiten",IF(G22&lt;&gt;"",IF(TODAY()&gt;=WORKDAY(G22,7),"Als Keine Antwort abschließen","Warten auf Antwort"),IF(E22&lt;&gt;"",IF(TODAY()&gt;=F22,"Follow-up schreiben!","Warten bis Follow-up-Datum"),IF(D22="Versandbereit","Erstmail senden","Konzept fertigstellen")))))</f>
        <v/>
      </c>
      <c r="K22" s="2" t="inlineStr">
        <is>
          <t>10-Versandfertig-Handwerk</t>
        </is>
      </c>
      <c r="L22" s="2" t="inlineStr">
        <is>
          <t>Erstmail am 10.10. erneut gesendet. Die alte Mail vom 09.10. liegt noch im Postausgang (Doppelversand vermeiden)</t>
        </is>
      </c>
    </row>
    <row r="23">
      <c r="A23" s="2" t="inlineStr">
        <is>
          <t>Independent Overhead Doors</t>
        </is>
      </c>
      <c r="B23" s="2" t="inlineStr">
        <is>
          <t>Garagentore</t>
        </is>
      </c>
      <c r="C23" s="2" t="inlineStr">
        <is>
          <t>iodoors@sbcglobal.net</t>
        </is>
      </c>
      <c r="D23" s="2" t="inlineStr">
        <is>
          <t>Abgeschickt</t>
        </is>
      </c>
      <c r="E23" s="3" t="n">
        <v>46304</v>
      </c>
      <c r="F23" s="3">
        <f>IF(OR(E23="",G23&lt;&gt;"",H23&lt;&gt;""),"",WORKDAY(E23,5))</f>
        <v/>
      </c>
      <c r="G23" s="3" t="n"/>
      <c r="H23" s="3" t="n"/>
      <c r="I23" s="2" t="n"/>
      <c r="J23" s="2">
        <f>IF(A23="","",IF(I23&lt;&gt;"","Antwort bearbeiten",IF(G23&lt;&gt;"",IF(TODAY()&gt;=WORKDAY(G23,7),"Als Keine Antwort abschließen","Warten auf Antwort"),IF(E23&lt;&gt;"",IF(TODAY()&gt;=F23,"Follow-up schreiben!","Warten bis Follow-up-Datum"),IF(D23="Versandbereit","Erstmail senden","Konzept fertigstellen")))))</f>
        <v/>
      </c>
      <c r="K23" s="2" t="inlineStr">
        <is>
          <t>10-Versandfertig-Handwerk</t>
        </is>
      </c>
      <c r="L23" s="2" t="inlineStr">
        <is>
          <t>PDF angehängt; Scroll-Video erst nach einem Ja; Follow-up liegt im Zoho-Postausgang (geplant)</t>
        </is>
      </c>
    </row>
    <row r="24">
      <c r="A24" s="2" t="inlineStr">
        <is>
          <t>Stevan Buren Roofing</t>
        </is>
      </c>
      <c r="B24" s="2" t="inlineStr">
        <is>
          <t>Dachdecker</t>
        </is>
      </c>
      <c r="C24" s="2" t="inlineStr">
        <is>
          <t>office@stevanburen.com</t>
        </is>
      </c>
      <c r="D24" s="2" t="inlineStr">
        <is>
          <t>Abgeschickt</t>
        </is>
      </c>
      <c r="E24" s="3" t="n">
        <v>46304</v>
      </c>
      <c r="F24" s="3">
        <f>IF(OR(E24="",G24&lt;&gt;"",H24&lt;&gt;""),"",WORKDAY(E24,5))</f>
        <v/>
      </c>
      <c r="G24" s="3" t="n"/>
      <c r="H24" s="3" t="n"/>
      <c r="I24" s="2" t="n"/>
      <c r="J24" s="2">
        <f>IF(A24="","",IF(I24&lt;&gt;"","Antwort bearbeiten",IF(G24&lt;&gt;"",IF(TODAY()&gt;=WORKDAY(G24,7),"Als Keine Antwort abschließen","Warten auf Antwort"),IF(E24&lt;&gt;"",IF(TODAY()&gt;=F24,"Follow-up schreiben!","Warten bis Follow-up-Datum"),IF(D24="Versandbereit","Erstmail senden","Konzept fertigstellen")))))</f>
        <v/>
      </c>
      <c r="K24" s="2" t="inlineStr">
        <is>
          <t>10-Versandfertig-Handwerk</t>
        </is>
      </c>
      <c r="L24" s="2" t="inlineStr">
        <is>
          <t>PDF angehängt; Scroll-Video erst nach einem Ja; Follow-up liegt im Zoho-Postausgang (geplant)</t>
        </is>
      </c>
    </row>
    <row r="25">
      <c r="A25" s="2" t="inlineStr">
        <is>
          <t>RPGA Design Group</t>
        </is>
      </c>
      <c r="B25" s="2" t="inlineStr">
        <is>
          <t>Architektur</t>
        </is>
      </c>
      <c r="C25" s="2" t="inlineStr">
        <is>
          <t>rickgarza@rpgaarchitects.com</t>
        </is>
      </c>
      <c r="D25" s="2" t="inlineStr">
        <is>
          <t>Abgeschickt</t>
        </is>
      </c>
      <c r="E25" s="3" t="n">
        <v>46304</v>
      </c>
      <c r="F25" s="3">
        <f>IF(OR(E25="",G25&lt;&gt;"",H25&lt;&gt;""),"",WORKDAY(E25,5))</f>
        <v/>
      </c>
      <c r="G25" s="3" t="n"/>
      <c r="H25" s="3" t="n"/>
      <c r="I25" s="2" t="n"/>
      <c r="J25" s="2">
        <f>IF(A25="","",IF(I25&lt;&gt;"","Antwort bearbeiten",IF(G25&lt;&gt;"",IF(TODAY()&gt;=WORKDAY(G25,7),"Als Keine Antwort abschließen","Warten auf Antwort"),IF(E25&lt;&gt;"",IF(TODAY()&gt;=F25,"Follow-up schreiben!","Warten bis Follow-up-Datum"),IF(D25="Versandbereit","Erstmail senden","Konzept fertigstellen")))))</f>
        <v/>
      </c>
      <c r="K25" s="2" t="inlineStr">
        <is>
          <t>11-Versandfertig-Gastro-Architektur</t>
        </is>
      </c>
      <c r="L25" s="2" t="inlineStr">
        <is>
          <t>PDF angehängt; Scroll-Video erst nach einem Ja; Follow-up liegt im Zoho-Postausgang (geplant)</t>
        </is>
      </c>
    </row>
    <row r="26">
      <c r="A26" s="2" t="inlineStr">
        <is>
          <t>CHS Architects</t>
        </is>
      </c>
      <c r="B26" s="2" t="inlineStr">
        <is>
          <t>Architektur</t>
        </is>
      </c>
      <c r="C26" s="2" t="inlineStr">
        <is>
          <t>info@chsarchitects.com</t>
        </is>
      </c>
      <c r="D26" s="2" t="inlineStr">
        <is>
          <t>Abgeschickt</t>
        </is>
      </c>
      <c r="E26" s="3" t="n">
        <v>46304</v>
      </c>
      <c r="F26" s="3">
        <f>IF(OR(E26="",G26&lt;&gt;"",H26&lt;&gt;""),"",WORKDAY(E26,5))</f>
        <v/>
      </c>
      <c r="G26" s="3" t="n"/>
      <c r="H26" s="3" t="n"/>
      <c r="I26" s="2" t="n"/>
      <c r="J26" s="2">
        <f>IF(A26="","",IF(I26&lt;&gt;"","Antwort bearbeiten",IF(G26&lt;&gt;"",IF(TODAY()&gt;=WORKDAY(G26,7),"Als Keine Antwort abschließen","Warten auf Antwort"),IF(E26&lt;&gt;"",IF(TODAY()&gt;=F26,"Follow-up schreiben!","Warten bis Follow-up-Datum"),IF(D26="Versandbereit","Erstmail senden","Konzept fertigstellen")))))</f>
        <v/>
      </c>
      <c r="K26" s="2" t="inlineStr">
        <is>
          <t>11-Versandfertig-Gastro-Architektur</t>
        </is>
      </c>
      <c r="L26" s="2" t="inlineStr">
        <is>
          <t>PDF angehängt; Scroll-Video erst nach einem Ja; Follow-up liegt im Zoho-Postausgang (geplant)</t>
        </is>
      </c>
    </row>
    <row r="27">
      <c r="A27" s="2" t="inlineStr">
        <is>
          <t>PDMS Design Group</t>
        </is>
      </c>
      <c r="B27" s="2" t="inlineStr">
        <is>
          <t>Architektur</t>
        </is>
      </c>
      <c r="C27" s="2" t="inlineStr">
        <is>
          <t>design@pdmsdesign.com</t>
        </is>
      </c>
      <c r="D27" s="2" t="inlineStr">
        <is>
          <t>Abgeschickt</t>
        </is>
      </c>
      <c r="E27" s="3" t="n">
        <v>46304</v>
      </c>
      <c r="F27" s="3">
        <f>IF(OR(E27="",G27&lt;&gt;"",H27&lt;&gt;""),"",WORKDAY(E27,5))</f>
        <v/>
      </c>
      <c r="G27" s="3" t="n"/>
      <c r="H27" s="3" t="n"/>
      <c r="I27" s="2" t="n"/>
      <c r="J27" s="2">
        <f>IF(A27="","",IF(I27&lt;&gt;"","Antwort bearbeiten",IF(G27&lt;&gt;"",IF(TODAY()&gt;=WORKDAY(G27,7),"Als Keine Antwort abschließen","Warten auf Antwort"),IF(E27&lt;&gt;"",IF(TODAY()&gt;=F27,"Follow-up schreiben!","Warten bis Follow-up-Datum"),IF(D27="Versandbereit","Erstmail senden","Konzept fertigstellen")))))</f>
        <v/>
      </c>
      <c r="K27" s="2" t="inlineStr">
        <is>
          <t>11-Versandfertig-Gastro-Architektur</t>
        </is>
      </c>
      <c r="L27" s="2" t="inlineStr">
        <is>
          <t>PDF angehängt; Scroll-Video erst nach einem Ja; Follow-up liegt im Zoho-Postausgang (geplant)</t>
        </is>
      </c>
    </row>
    <row r="28">
      <c r="A28" s="2" t="inlineStr">
        <is>
          <t>Touch Ya' Soul Food Catering</t>
        </is>
      </c>
      <c r="B28" s="2" t="inlineStr">
        <is>
          <t>Gastro</t>
        </is>
      </c>
      <c r="C28" s="2" t="inlineStr">
        <is>
          <t>touchyasoulfoodcatering@gmail.com</t>
        </is>
      </c>
      <c r="D28" s="2" t="inlineStr">
        <is>
          <t>Abgeschickt</t>
        </is>
      </c>
      <c r="E28" s="3" t="n">
        <v>46304</v>
      </c>
      <c r="F28" s="3">
        <f>IF(OR(E28="",G28&lt;&gt;"",H28&lt;&gt;""),"",WORKDAY(E28,5))</f>
        <v/>
      </c>
      <c r="G28" s="3" t="n"/>
      <c r="H28" s="3" t="n"/>
      <c r="I28" s="2" t="n"/>
      <c r="J28" s="2">
        <f>IF(A28="","",IF(I28&lt;&gt;"","Antwort bearbeiten",IF(G28&lt;&gt;"",IF(TODAY()&gt;=WORKDAY(G28,7),"Als Keine Antwort abschließen","Warten auf Antwort"),IF(E28&lt;&gt;"",IF(TODAY()&gt;=F28,"Follow-up schreiben!","Warten bis Follow-up-Datum"),IF(D28="Versandbereit","Erstmail senden","Konzept fertigstellen")))))</f>
        <v/>
      </c>
      <c r="K28" s="2" t="inlineStr">
        <is>
          <t>11-Versandfertig-Gastro-Architektur</t>
        </is>
      </c>
      <c r="L28" s="2" t="inlineStr">
        <is>
          <t>PDF angehängt; Scroll-Video erst nach einem Ja; Follow-up liegt im Zoho-Postausgang (geplant)</t>
        </is>
      </c>
    </row>
    <row r="29">
      <c r="A29" s="2" t="inlineStr">
        <is>
          <t>David's Barbecue</t>
        </is>
      </c>
      <c r="B29" s="2" t="inlineStr">
        <is>
          <t>Gastro</t>
        </is>
      </c>
      <c r="C29" s="2" t="inlineStr">
        <is>
          <t>austin@davidsbarbecuetx.com</t>
        </is>
      </c>
      <c r="D29" s="2" t="inlineStr">
        <is>
          <t>Abgeschickt</t>
        </is>
      </c>
      <c r="E29" s="3" t="n">
        <v>46304</v>
      </c>
      <c r="F29" s="3">
        <f>IF(OR(E29="",G29&lt;&gt;"",H29&lt;&gt;""),"",WORKDAY(E29,5))</f>
        <v/>
      </c>
      <c r="G29" s="3" t="n"/>
      <c r="H29" s="3" t="n"/>
      <c r="I29" s="2" t="n"/>
      <c r="J29" s="2">
        <f>IF(A29="","",IF(I29&lt;&gt;"","Antwort bearbeiten",IF(G29&lt;&gt;"",IF(TODAY()&gt;=WORKDAY(G29,7),"Als Keine Antwort abschließen","Warten auf Antwort"),IF(E29&lt;&gt;"",IF(TODAY()&gt;=F29,"Follow-up schreiben!","Warten bis Follow-up-Datum"),IF(D29="Versandbereit","Erstmail senden","Konzept fertigstellen")))))</f>
        <v/>
      </c>
      <c r="K29" s="2" t="inlineStr">
        <is>
          <t>11-Versandfertig-Gastro-Architektur</t>
        </is>
      </c>
      <c r="L29" s="2" t="inlineStr">
        <is>
          <t>PDF angehängt; Scroll-Video erst nach einem Ja; Follow-up liegt im Zoho-Postausgang (geplant)</t>
        </is>
      </c>
    </row>
    <row r="30">
      <c r="A30" s="2" t="inlineStr">
        <is>
          <t>Fort Worth Pest &amp; Termite</t>
        </is>
      </c>
      <c r="B30" s="2" t="inlineStr">
        <is>
          <t>Schädlingsbekämpfung</t>
        </is>
      </c>
      <c r="C30" s="2" t="inlineStr">
        <is>
          <t>sales@fortworthpest.com</t>
        </is>
      </c>
      <c r="D30" s="2" t="inlineStr">
        <is>
          <t>Abgeschickt</t>
        </is>
      </c>
      <c r="E30" s="3" t="n">
        <v>46304</v>
      </c>
      <c r="F30" s="3">
        <f>IF(OR(E30="",G30&lt;&gt;"",H30&lt;&gt;""),"",WORKDAY(E30,5))</f>
        <v/>
      </c>
      <c r="G30" s="3" t="n"/>
      <c r="H30" s="3" t="n"/>
      <c r="I30" s="2" t="n"/>
      <c r="J30" s="2">
        <f>IF(A30="","",IF(I30&lt;&gt;"","Antwort bearbeiten",IF(G30&lt;&gt;"",IF(TODAY()&gt;=WORKDAY(G30,7),"Als Keine Antwort abschließen","Warten auf Antwort"),IF(E30&lt;&gt;"",IF(TODAY()&gt;=F30,"Follow-up schreiben!","Warten bis Follow-up-Datum"),IF(D30="Versandbereit","Erstmail senden","Konzept fertigstellen")))))</f>
        <v/>
      </c>
      <c r="K30" s="2" t="inlineStr">
        <is>
          <t>12-Versandfertig-Service</t>
        </is>
      </c>
      <c r="L30" s="2" t="inlineStr">
        <is>
          <t>Erstmail 09.10. mit PDF verschickt; Follow-up liegt im Zoho-Postausgang (geplant)</t>
        </is>
      </c>
    </row>
    <row r="31">
      <c r="A31" s="2" t="inlineStr">
        <is>
          <t>Mike's Brake &amp; Alignment</t>
        </is>
      </c>
      <c r="B31" s="2" t="inlineStr">
        <is>
          <t>Autowerkstatt</t>
        </is>
      </c>
      <c r="C31" s="2" t="inlineStr">
        <is>
          <t>mikesbrakeandalignment@gmail.com</t>
        </is>
      </c>
      <c r="D31" s="2" t="inlineStr">
        <is>
          <t>Abgeschickt</t>
        </is>
      </c>
      <c r="E31" s="3" t="n">
        <v>46304</v>
      </c>
      <c r="F31" s="3">
        <f>IF(OR(E31="",G31&lt;&gt;"",H31&lt;&gt;""),"",WORKDAY(E31,5))</f>
        <v/>
      </c>
      <c r="G31" s="3" t="n"/>
      <c r="H31" s="3" t="n"/>
      <c r="I31" s="2" t="n"/>
      <c r="J31" s="2">
        <f>IF(A31="","",IF(I31&lt;&gt;"","Antwort bearbeiten",IF(G31&lt;&gt;"",IF(TODAY()&gt;=WORKDAY(G31,7),"Als Keine Antwort abschließen","Warten auf Antwort"),IF(E31&lt;&gt;"",IF(TODAY()&gt;=F31,"Follow-up schreiben!","Warten bis Follow-up-Datum"),IF(D31="Versandbereit","Erstmail senden","Konzept fertigstellen")))))</f>
        <v/>
      </c>
      <c r="K31" s="2" t="inlineStr">
        <is>
          <t>12-Versandfertig-Service</t>
        </is>
      </c>
      <c r="L31" s="2" t="inlineStr">
        <is>
          <t>Erstmail 09.10. mit PDF verschickt; Follow-up liegt im Zoho-Postausgang (geplant)</t>
        </is>
      </c>
    </row>
    <row r="32">
      <c r="A32" s="2" t="inlineStr">
        <is>
          <t>BBN Pest Control</t>
        </is>
      </c>
      <c r="B32" s="2" t="inlineStr">
        <is>
          <t>Schädlingsbekämpfung</t>
        </is>
      </c>
      <c r="C32" s="2" t="inlineStr">
        <is>
          <t>bbnpestcontrol@aol.com</t>
        </is>
      </c>
      <c r="D32" s="2" t="inlineStr">
        <is>
          <t>Abgeschickt</t>
        </is>
      </c>
      <c r="E32" s="3" t="n">
        <v>46304</v>
      </c>
      <c r="F32" s="3">
        <f>IF(OR(E32="",G32&lt;&gt;"",H32&lt;&gt;""),"",WORKDAY(E32,5))</f>
        <v/>
      </c>
      <c r="G32" s="3" t="n"/>
      <c r="H32" s="3" t="n"/>
      <c r="I32" s="2" t="n"/>
      <c r="J32" s="2">
        <f>IF(A32="","",IF(I32&lt;&gt;"","Antwort bearbeiten",IF(G32&lt;&gt;"",IF(TODAY()&gt;=WORKDAY(G32,7),"Als Keine Antwort abschließen","Warten auf Antwort"),IF(E32&lt;&gt;"",IF(TODAY()&gt;=F32,"Follow-up schreiben!","Warten bis Follow-up-Datum"),IF(D32="Versandbereit","Erstmail senden","Konzept fertigstellen")))))</f>
        <v/>
      </c>
      <c r="K32" s="2" t="inlineStr">
        <is>
          <t>12-Versandfertig-Service</t>
        </is>
      </c>
      <c r="L32" s="2" t="inlineStr">
        <is>
          <t>Erstmail 09.10. mit PDF verschickt; Follow-up liegt im Zoho-Postausgang (geplant)</t>
        </is>
      </c>
    </row>
    <row r="33">
      <c r="A33" s="2" t="inlineStr">
        <is>
          <t>Burleson Dental Care</t>
        </is>
      </c>
      <c r="B33" s="2" t="inlineStr">
        <is>
          <t>Zahnarzt</t>
        </is>
      </c>
      <c r="C33" s="2" t="inlineStr">
        <is>
          <t>info@burlesondentalcare.com</t>
        </is>
      </c>
      <c r="D33" s="2" t="inlineStr">
        <is>
          <t>Abgeschickt</t>
        </is>
      </c>
      <c r="E33" s="3" t="n">
        <v>46304</v>
      </c>
      <c r="F33" s="3">
        <f>IF(OR(E33="",G33&lt;&gt;"",H33&lt;&gt;""),"",WORKDAY(E33,5))</f>
        <v/>
      </c>
      <c r="G33" s="3" t="n"/>
      <c r="H33" s="3" t="n"/>
      <c r="I33" s="2" t="n"/>
      <c r="J33" s="2">
        <f>IF(A33="","",IF(I33&lt;&gt;"","Antwort bearbeiten",IF(G33&lt;&gt;"",IF(TODAY()&gt;=WORKDAY(G33,7),"Als Keine Antwort abschließen","Warten auf Antwort"),IF(E33&lt;&gt;"",IF(TODAY()&gt;=F33,"Follow-up schreiben!","Warten bis Follow-up-Datum"),IF(D33="Versandbereit","Erstmail senden","Konzept fertigstellen")))))</f>
        <v/>
      </c>
      <c r="K33" s="2" t="inlineStr">
        <is>
          <t>12-Versandfertig-Service</t>
        </is>
      </c>
      <c r="L33" s="2" t="inlineStr">
        <is>
          <t>Erstmail 09.10. mit PDF verschickt; Follow-up liegt im Zoho-Postausgang (geplant)</t>
        </is>
      </c>
    </row>
    <row r="34">
      <c r="A34" s="2" t="inlineStr">
        <is>
          <t>Chief Pest Control</t>
        </is>
      </c>
      <c r="B34" s="2" t="inlineStr">
        <is>
          <t>Schädlingsbekämpfung</t>
        </is>
      </c>
      <c r="C34" s="2" t="inlineStr">
        <is>
          <t>chiefpestmail@yahoo.com</t>
        </is>
      </c>
      <c r="D34" s="2" t="inlineStr">
        <is>
          <t>In Bearbeitung</t>
        </is>
      </c>
      <c r="E34" s="3" t="n"/>
      <c r="F34" s="3">
        <f>IF(OR(E34="",G34&lt;&gt;"",H34&lt;&gt;""),"",WORKDAY(E34,5))</f>
        <v/>
      </c>
      <c r="G34" s="3" t="n"/>
      <c r="H34" s="3" t="n"/>
      <c r="I34" s="2" t="n"/>
      <c r="J34" s="2">
        <f>IF(A34="","",IF(I34&lt;&gt;"","Antwort bearbeiten",IF(G34&lt;&gt;"",IF(TODAY()&gt;=WORKDAY(G34,7),"Als Keine Antwort abschließen","Warten auf Antwort"),IF(E34&lt;&gt;"",IF(TODAY()&gt;=F34,"Follow-up schreiben!","Warten bis Follow-up-Datum"),IF(D34="Versandbereit","Erstmail senden","Konzept fertigstellen")))))</f>
        <v/>
      </c>
      <c r="K34" s="2" t="inlineStr">
        <is>
          <t>Neue-Leads-Service-2026-10-09</t>
        </is>
      </c>
      <c r="L34" s="2" t="inlineStr">
        <is>
          <t>Lead gefunden 09.10., Konzept offen</t>
        </is>
      </c>
    </row>
    <row r="35">
      <c r="A35" s="2" t="inlineStr">
        <is>
          <t>Monkey Wrench Cycles</t>
        </is>
      </c>
      <c r="B35" s="2" t="inlineStr">
        <is>
          <t>Motorradwerkstatt</t>
        </is>
      </c>
      <c r="C35" s="2" t="inlineStr">
        <is>
          <t>FrankV@MonkeyWrenchMotorcycles.com</t>
        </is>
      </c>
      <c r="D35" s="2" t="inlineStr">
        <is>
          <t>Abgeschickt</t>
        </is>
      </c>
      <c r="E35" s="3" t="n">
        <v>46305</v>
      </c>
      <c r="F35" s="3">
        <f>IF(OR(E35="",G35&lt;&gt;"",H35&lt;&gt;""),"",WORKDAY(E35,5))</f>
        <v/>
      </c>
      <c r="G35" s="3" t="n"/>
      <c r="H35" s="3" t="n"/>
      <c r="I35" s="2" t="n"/>
      <c r="J35" s="2">
        <f>IF(A35="","",IF(I35&lt;&gt;"","Antwort bearbeiten",IF(G35&lt;&gt;"",IF(TODAY()&gt;=WORKDAY(G35,7),"Als Keine Antwort abschließen","Warten auf Antwort"),IF(E35&lt;&gt;"",IF(TODAY()&gt;=F35,"Follow-up schreiben!","Warten bis Follow-up-Datum"),IF(D35="Versandbereit","Erstmail senden","Konzept fertigstellen")))))</f>
        <v/>
      </c>
      <c r="K35" s="2" t="inlineStr">
        <is>
          <t>13-Versandfertig-Mix</t>
        </is>
      </c>
      <c r="L35" s="2" t="inlineStr">
        <is>
          <t>Erstmail 10.10. mit PDF verschickt; Follow-up liegt im Zoho-Postausgang (geplant)</t>
        </is>
      </c>
    </row>
    <row r="36">
      <c r="A36" s="2" t="inlineStr">
        <is>
          <t>Factory Finish Auto Collision Center</t>
        </is>
      </c>
      <c r="B36" s="2" t="inlineStr">
        <is>
          <t>Karosseriewerkstatt</t>
        </is>
      </c>
      <c r="C36" s="2" t="inlineStr">
        <is>
          <t>factoryfinishpb@sbcglobal.net</t>
        </is>
      </c>
      <c r="D36" s="2" t="inlineStr">
        <is>
          <t>Abgeschickt</t>
        </is>
      </c>
      <c r="E36" s="3" t="n">
        <v>46305</v>
      </c>
      <c r="F36" s="3">
        <f>IF(OR(E36="",G36&lt;&gt;"",H36&lt;&gt;""),"",WORKDAY(E36,5))</f>
        <v/>
      </c>
      <c r="G36" s="3" t="n"/>
      <c r="H36" s="3" t="n"/>
      <c r="I36" s="2" t="n"/>
      <c r="J36" s="2">
        <f>IF(A36="","",IF(I36&lt;&gt;"","Antwort bearbeiten",IF(G36&lt;&gt;"",IF(TODAY()&gt;=WORKDAY(G36,7),"Als Keine Antwort abschließen","Warten auf Antwort"),IF(E36&lt;&gt;"",IF(TODAY()&gt;=F36,"Follow-up schreiben!","Warten bis Follow-up-Datum"),IF(D36="Versandbereit","Erstmail senden","Konzept fertigstellen")))))</f>
        <v/>
      </c>
      <c r="K36" s="2" t="inlineStr">
        <is>
          <t>13-Versandfertig-Mix</t>
        </is>
      </c>
      <c r="L36" s="2" t="inlineStr">
        <is>
          <t>Erstmail 10.10. mit PDF verschickt; Follow-up liegt im Zoho-Postausgang (geplant)</t>
        </is>
      </c>
    </row>
    <row r="37">
      <c r="A37" s="2" t="inlineStr">
        <is>
          <t>Kite's Custom Cleaners</t>
        </is>
      </c>
      <c r="B37" s="2" t="inlineStr">
        <is>
          <t>Reinigung</t>
        </is>
      </c>
      <c r="C37" s="2" t="inlineStr">
        <is>
          <t>info@kitescleaners.com</t>
        </is>
      </c>
      <c r="D37" s="2" t="inlineStr">
        <is>
          <t>Abgeschickt</t>
        </is>
      </c>
      <c r="E37" s="3" t="n">
        <v>46305</v>
      </c>
      <c r="F37" s="3">
        <f>IF(OR(E37="",G37&lt;&gt;"",H37&lt;&gt;""),"",WORKDAY(E37,5))</f>
        <v/>
      </c>
      <c r="G37" s="3" t="n"/>
      <c r="H37" s="3" t="n"/>
      <c r="I37" s="2" t="n"/>
      <c r="J37" s="2">
        <f>IF(A37="","",IF(I37&lt;&gt;"","Antwort bearbeiten",IF(G37&lt;&gt;"",IF(TODAY()&gt;=WORKDAY(G37,7),"Als Keine Antwort abschließen","Warten auf Antwort"),IF(E37&lt;&gt;"",IF(TODAY()&gt;=F37,"Follow-up schreiben!","Warten bis Follow-up-Datum"),IF(D37="Versandbereit","Erstmail senden","Konzept fertigstellen")))))</f>
        <v/>
      </c>
      <c r="K37" s="2" t="inlineStr">
        <is>
          <t>13-Versandfertig-Mix</t>
        </is>
      </c>
      <c r="L37" s="2" t="inlineStr">
        <is>
          <t>Erstmail 10.10. mit PDF verschickt; Follow-up liegt im Zoho-Postausgang (geplant)</t>
        </is>
      </c>
    </row>
    <row r="38">
      <c r="A38" s="2" t="inlineStr">
        <is>
          <t>Studio of MoveMINT</t>
        </is>
      </c>
      <c r="B38" s="2" t="inlineStr">
        <is>
          <t>Tanzschule</t>
        </is>
      </c>
      <c r="C38" s="2" t="inlineStr">
        <is>
          <t>info@studioofmovemint.com</t>
        </is>
      </c>
      <c r="D38" s="2" t="inlineStr">
        <is>
          <t>Abgeschickt</t>
        </is>
      </c>
      <c r="E38" s="3" t="n">
        <v>46305</v>
      </c>
      <c r="F38" s="3">
        <f>IF(OR(E38="",G38&lt;&gt;"",H38&lt;&gt;""),"",WORKDAY(E38,5))</f>
        <v/>
      </c>
      <c r="G38" s="3" t="n"/>
      <c r="H38" s="3" t="n"/>
      <c r="I38" s="2" t="n"/>
      <c r="J38" s="2">
        <f>IF(A38="","",IF(I38&lt;&gt;"","Antwort bearbeiten",IF(G38&lt;&gt;"",IF(TODAY()&gt;=WORKDAY(G38,7),"Als Keine Antwort abschließen","Warten auf Antwort"),IF(E38&lt;&gt;"",IF(TODAY()&gt;=F38,"Follow-up schreiben!","Warten bis Follow-up-Datum"),IF(D38="Versandbereit","Erstmail senden","Konzept fertigstellen")))))</f>
        <v/>
      </c>
      <c r="K38" s="2" t="inlineStr">
        <is>
          <t>13-Versandfertig-Mix</t>
        </is>
      </c>
      <c r="L38" s="2" t="inlineStr">
        <is>
          <t>Erstmail 10.10. mit PDF verschickt; Follow-up liegt im Zoho-Postausgang (geplant)</t>
        </is>
      </c>
    </row>
    <row r="39">
      <c r="A39" s="2" t="inlineStr">
        <is>
          <t>Arlington Natural Wellness Center</t>
        </is>
      </c>
      <c r="B39" s="2" t="inlineStr">
        <is>
          <t>Chiropraktik</t>
        </is>
      </c>
      <c r="C39" s="2" t="inlineStr">
        <is>
          <t>arlingtonnwc@yahoo.com</t>
        </is>
      </c>
      <c r="D39" s="2" t="inlineStr">
        <is>
          <t>Abgeschickt</t>
        </is>
      </c>
      <c r="E39" s="3" t="n">
        <v>46305</v>
      </c>
      <c r="F39" s="3">
        <f>IF(OR(E39="",G39&lt;&gt;"",H39&lt;&gt;""),"",WORKDAY(E39,5))</f>
        <v/>
      </c>
      <c r="G39" s="3" t="n"/>
      <c r="H39" s="3" t="n"/>
      <c r="I39" s="2" t="n"/>
      <c r="J39" s="2">
        <f>IF(A39="","",IF(I39&lt;&gt;"","Antwort bearbeiten",IF(G39&lt;&gt;"",IF(TODAY()&gt;=WORKDAY(G39,7),"Als Keine Antwort abschließen","Warten auf Antwort"),IF(E39&lt;&gt;"",IF(TODAY()&gt;=F39,"Follow-up schreiben!","Warten bis Follow-up-Datum"),IF(D39="Versandbereit","Erstmail senden","Konzept fertigstellen")))))</f>
        <v/>
      </c>
      <c r="K39" s="2" t="inlineStr">
        <is>
          <t>13-Versandfertig-Mix</t>
        </is>
      </c>
      <c r="L39" s="2" t="inlineStr">
        <is>
          <t>Erstmail 10.10. mit PDF verschickt; Follow-up liegt im Zoho-Postausgang (geplant)</t>
        </is>
      </c>
    </row>
    <row r="40">
      <c r="A40" s="2" t="inlineStr">
        <is>
          <t>J.A.C. Welding &amp; Fabrication</t>
        </is>
      </c>
      <c r="B40" s="2" t="inlineStr">
        <is>
          <t>Schweißerei</t>
        </is>
      </c>
      <c r="C40" s="2" t="inlineStr">
        <is>
          <t>jacwelding@sbcglobal.net</t>
        </is>
      </c>
      <c r="D40" s="2" t="inlineStr">
        <is>
          <t>Abgeschickt</t>
        </is>
      </c>
      <c r="E40" s="3" t="n">
        <v>46305</v>
      </c>
      <c r="F40" s="3">
        <f>IF(OR(E40="",G40&lt;&gt;"",H40&lt;&gt;""),"",WORKDAY(E40,5))</f>
        <v/>
      </c>
      <c r="G40" s="3" t="n"/>
      <c r="H40" s="3" t="n"/>
      <c r="I40" s="2" t="n"/>
      <c r="J40" s="2">
        <f>IF(A40="","",IF(I40&lt;&gt;"","Antwort bearbeiten",IF(G40&lt;&gt;"",IF(TODAY()&gt;=WORKDAY(G40,7),"Als Keine Antwort abschließen","Warten auf Antwort"),IF(E40&lt;&gt;"",IF(TODAY()&gt;=F40,"Follow-up schreiben!","Warten bis Follow-up-Datum"),IF(D40="Versandbereit","Erstmail senden","Konzept fertigstellen")))))</f>
        <v/>
      </c>
      <c r="K40" s="2" t="inlineStr">
        <is>
          <t>14-Versandfertig-Gewerbe</t>
        </is>
      </c>
      <c r="L40" s="2" t="inlineStr">
        <is>
          <t>Erstmail 10.10. verschickt (laut Zoho "Gesendet")</t>
        </is>
      </c>
    </row>
    <row r="41">
      <c r="A41" s="2" t="inlineStr">
        <is>
          <t>Accurate-Tune (Andy White)</t>
        </is>
      </c>
      <c r="B41" s="2" t="inlineStr">
        <is>
          <t>Klavierstimmer</t>
        </is>
      </c>
      <c r="C41" s="2" t="inlineStr">
        <is>
          <t>andywhite@accurate-tune.com</t>
        </is>
      </c>
      <c r="D41" s="2" t="inlineStr">
        <is>
          <t>Abgeschickt</t>
        </is>
      </c>
      <c r="E41" s="3" t="n">
        <v>46305</v>
      </c>
      <c r="F41" s="3">
        <f>IF(OR(E41="",G41&lt;&gt;"",H41&lt;&gt;""),"",WORKDAY(E41,5))</f>
        <v/>
      </c>
      <c r="G41" s="3" t="n"/>
      <c r="H41" s="3" t="n"/>
      <c r="I41" s="2" t="n"/>
      <c r="J41" s="2">
        <f>IF(A41="","",IF(I41&lt;&gt;"","Antwort bearbeiten",IF(G41&lt;&gt;"",IF(TODAY()&gt;=WORKDAY(G41,7),"Als Keine Antwort abschließen","Warten auf Antwort"),IF(E41&lt;&gt;"",IF(TODAY()&gt;=F41,"Follow-up schreiben!","Warten bis Follow-up-Datum"),IF(D41="Versandbereit","Erstmail senden","Konzept fertigstellen")))))</f>
        <v/>
      </c>
      <c r="K41" s="2" t="inlineStr">
        <is>
          <t>14-Versandfertig-Gewerbe</t>
        </is>
      </c>
      <c r="L41" s="2" t="inlineStr">
        <is>
          <t>Erstmail 10.10. verschickt (laut Zoho "Gesendet")</t>
        </is>
      </c>
    </row>
    <row r="42">
      <c r="A42" s="2" t="inlineStr">
        <is>
          <t>GSI Geomatic Solutions</t>
        </is>
      </c>
      <c r="B42" s="2" t="inlineStr">
        <is>
          <t>Landvermessung</t>
        </is>
      </c>
      <c r="C42" s="2" t="inlineStr">
        <is>
          <t>shelby@gsisurvey.com</t>
        </is>
      </c>
      <c r="D42" s="2" t="inlineStr">
        <is>
          <t>Abgeschickt</t>
        </is>
      </c>
      <c r="E42" s="3" t="n">
        <v>46305</v>
      </c>
      <c r="F42" s="3">
        <f>IF(OR(E42="",G42&lt;&gt;"",H42&lt;&gt;""),"",WORKDAY(E42,5))</f>
        <v/>
      </c>
      <c r="G42" s="3" t="n"/>
      <c r="H42" s="3" t="n"/>
      <c r="I42" s="2" t="n"/>
      <c r="J42" s="2">
        <f>IF(A42="","",IF(I42&lt;&gt;"","Antwort bearbeiten",IF(G42&lt;&gt;"",IF(TODAY()&gt;=WORKDAY(G42,7),"Als Keine Antwort abschließen","Warten auf Antwort"),IF(E42&lt;&gt;"",IF(TODAY()&gt;=F42,"Follow-up schreiben!","Warten bis Follow-up-Datum"),IF(D42="Versandbereit","Erstmail senden","Konzept fertigstellen")))))</f>
        <v/>
      </c>
      <c r="K42" s="2" t="inlineStr">
        <is>
          <t>14-Versandfertig-Gewerbe</t>
        </is>
      </c>
      <c r="L42" s="2" t="inlineStr">
        <is>
          <t>Erstmail 10.10. verschickt (laut Zoho "Gesendet")</t>
        </is>
      </c>
    </row>
    <row r="43">
      <c r="A43" s="2" t="inlineStr">
        <is>
          <t>Armor Texas Insurance Agency</t>
        </is>
      </c>
      <c r="B43" s="2" t="inlineStr">
        <is>
          <t>Versicherung</t>
        </is>
      </c>
      <c r="C43" s="2" t="inlineStr">
        <is>
          <t>hedy@armortexasins.com</t>
        </is>
      </c>
      <c r="D43" s="2" t="inlineStr">
        <is>
          <t>Abgeschickt</t>
        </is>
      </c>
      <c r="E43" s="3" t="n">
        <v>46305</v>
      </c>
      <c r="F43" s="3">
        <f>IF(OR(E43="",G43&lt;&gt;"",H43&lt;&gt;""),"",WORKDAY(E43,5))</f>
        <v/>
      </c>
      <c r="G43" s="3" t="n"/>
      <c r="H43" s="3" t="n"/>
      <c r="I43" s="2" t="n"/>
      <c r="J43" s="2">
        <f>IF(A43="","",IF(I43&lt;&gt;"","Antwort bearbeiten",IF(G43&lt;&gt;"",IF(TODAY()&gt;=WORKDAY(G43,7),"Als Keine Antwort abschließen","Warten auf Antwort"),IF(E43&lt;&gt;"",IF(TODAY()&gt;=F43,"Follow-up schreiben!","Warten bis Follow-up-Datum"),IF(D43="Versandbereit","Erstmail senden","Konzept fertigstellen")))))</f>
        <v/>
      </c>
      <c r="K43" s="2" t="inlineStr">
        <is>
          <t>14-Versandfertig-Gewerbe</t>
        </is>
      </c>
      <c r="L43" s="2" t="inlineStr">
        <is>
          <t>Erstmail 10.10. verschickt (laut Zoho "Gesendet")</t>
        </is>
      </c>
    </row>
    <row r="44">
      <c r="A44" s="2" t="inlineStr">
        <is>
          <t>Manjula P. Modi, CPA PLLC</t>
        </is>
      </c>
      <c r="B44" s="2" t="inlineStr">
        <is>
          <t>Steuerberater</t>
        </is>
      </c>
      <c r="C44" s="2" t="inlineStr">
        <is>
          <t>info@fort-worth-cpa.com</t>
        </is>
      </c>
      <c r="D44" s="2" t="inlineStr">
        <is>
          <t>Abgeschickt</t>
        </is>
      </c>
      <c r="E44" s="3" t="n">
        <v>46305</v>
      </c>
      <c r="F44" s="3">
        <f>IF(OR(E44="",G44&lt;&gt;"",H44&lt;&gt;""),"",WORKDAY(E44,5))</f>
        <v/>
      </c>
      <c r="G44" s="3" t="n"/>
      <c r="H44" s="3" t="n"/>
      <c r="I44" s="2" t="n"/>
      <c r="J44" s="2">
        <f>IF(A44="","",IF(I44&lt;&gt;"","Antwort bearbeiten",IF(G44&lt;&gt;"",IF(TODAY()&gt;=WORKDAY(G44,7),"Als Keine Antwort abschließen","Warten auf Antwort"),IF(E44&lt;&gt;"",IF(TODAY()&gt;=F44,"Follow-up schreiben!","Warten bis Follow-up-Datum"),IF(D44="Versandbereit","Erstmail senden","Konzept fertigstellen")))))</f>
        <v/>
      </c>
      <c r="K44" s="2" t="inlineStr">
        <is>
          <t>14-Versandfertig-Gewerbe</t>
        </is>
      </c>
      <c r="L44" s="2" t="inlineStr">
        <is>
          <t>Erstmail 10.10. verschickt (laut Zoho "Gesendet")</t>
        </is>
      </c>
    </row>
    <row r="45">
      <c r="A45" s="2" t="inlineStr">
        <is>
          <t>Funky Town Donuts</t>
        </is>
      </c>
      <c r="B45" s="2" t="inlineStr">
        <is>
          <t>Donut-Bäckerei</t>
        </is>
      </c>
      <c r="C45" s="2" t="inlineStr">
        <is>
          <t>orders@funkytowndonuts.com</t>
        </is>
      </c>
      <c r="D45" s="2" t="inlineStr">
        <is>
          <t>Versandbereit</t>
        </is>
      </c>
      <c r="E45" s="3" t="n"/>
      <c r="F45" s="3">
        <f>IF(OR(E45="",G45&lt;&gt;"",H45&lt;&gt;""),"",WORKDAY(E45,5))</f>
        <v/>
      </c>
      <c r="G45" s="3" t="n"/>
      <c r="H45" s="3" t="n"/>
      <c r="I45" s="2" t="n"/>
      <c r="J45" s="2">
        <f>IF(A45="","",IF(I45&lt;&gt;"","Antwort bearbeiten",IF(G45&lt;&gt;"",IF(TODAY()&gt;=WORKDAY(G45,7),"Als Keine Antwort abschließen","Warten auf Antwort"),IF(E45&lt;&gt;"",IF(TODAY()&gt;=F45,"Follow-up schreiben!","Warten bis Follow-up-Datum"),IF(D45="Versandbereit","Erstmail senden","Konzept fertigstellen")))))</f>
        <v/>
      </c>
      <c r="K45" s="2" t="inlineStr">
        <is>
          <t>15-Versandfertig-Laden</t>
        </is>
      </c>
      <c r="L45" s="2" t="inlineStr">
        <is>
          <t>Konzeptseite, PDF, Video und Mail fertig 10.10., versandbereit</t>
        </is>
      </c>
    </row>
    <row r="46">
      <c r="A46" s="2" t="inlineStr">
        <is>
          <t>Michael's PC Sales &amp; Service</t>
        </is>
      </c>
      <c r="B46" s="2" t="inlineStr">
        <is>
          <t>Computer-Service</t>
        </is>
      </c>
      <c r="C46" s="2" t="inlineStr">
        <is>
          <t>info@michaelspcsalesandservice.com</t>
        </is>
      </c>
      <c r="D46" s="2" t="inlineStr">
        <is>
          <t>Versandbereit</t>
        </is>
      </c>
      <c r="E46" s="3" t="n"/>
      <c r="F46" s="3">
        <f>IF(OR(E46="",G46&lt;&gt;"",H46&lt;&gt;""),"",WORKDAY(E46,5))</f>
        <v/>
      </c>
      <c r="G46" s="3" t="n"/>
      <c r="H46" s="3" t="n"/>
      <c r="I46" s="2" t="n"/>
      <c r="J46" s="2">
        <f>IF(A46="","",IF(I46&lt;&gt;"","Antwort bearbeiten",IF(G46&lt;&gt;"",IF(TODAY()&gt;=WORKDAY(G46,7),"Als Keine Antwort abschließen","Warten auf Antwort"),IF(E46&lt;&gt;"",IF(TODAY()&gt;=F46,"Follow-up schreiben!","Warten bis Follow-up-Datum"),IF(D46="Versandbereit","Erstmail senden","Konzept fertigstellen")))))</f>
        <v/>
      </c>
      <c r="K46" s="2" t="inlineStr">
        <is>
          <t>15-Versandfertig-Laden</t>
        </is>
      </c>
      <c r="L46" s="2" t="inlineStr">
        <is>
          <t>Konzeptseite, PDF, Video und Mail fertig 10.10., versandbereit</t>
        </is>
      </c>
    </row>
    <row r="47">
      <c r="A47" s="2" t="inlineStr">
        <is>
          <t>Helga's Custom Alterations</t>
        </is>
      </c>
      <c r="B47" s="2" t="inlineStr">
        <is>
          <t>Änderungsschneiderei</t>
        </is>
      </c>
      <c r="C47" s="2" t="inlineStr">
        <is>
          <t>info@helgasalterations.com</t>
        </is>
      </c>
      <c r="D47" s="2" t="inlineStr">
        <is>
          <t>Versandbereit</t>
        </is>
      </c>
      <c r="E47" s="3" t="n"/>
      <c r="F47" s="3">
        <f>IF(OR(E47="",G47&lt;&gt;"",H47&lt;&gt;""),"",WORKDAY(E47,5))</f>
        <v/>
      </c>
      <c r="G47" s="3" t="n"/>
      <c r="H47" s="3" t="n"/>
      <c r="I47" s="2" t="n"/>
      <c r="J47" s="2">
        <f>IF(A47="","",IF(I47&lt;&gt;"","Antwort bearbeiten",IF(G47&lt;&gt;"",IF(TODAY()&gt;=WORKDAY(G47,7),"Als Keine Antwort abschließen","Warten auf Antwort"),IF(E47&lt;&gt;"",IF(TODAY()&gt;=F47,"Follow-up schreiben!","Warten bis Follow-up-Datum"),IF(D47="Versandbereit","Erstmail senden","Konzept fertigstellen")))))</f>
        <v/>
      </c>
      <c r="K47" s="2" t="inlineStr">
        <is>
          <t>15-Versandfertig-Laden</t>
        </is>
      </c>
      <c r="L47" s="2" t="inlineStr">
        <is>
          <t>Konzeptseite, PDF, Video und Mail fertig 10.10., versandbereit</t>
        </is>
      </c>
    </row>
    <row r="48">
      <c r="A48" s="2" t="inlineStr">
        <is>
          <t>DFW Granite</t>
        </is>
      </c>
      <c r="B48" s="2" t="inlineStr">
        <is>
          <t>Arbeitsplatten</t>
        </is>
      </c>
      <c r="C48" s="2" t="inlineStr">
        <is>
          <t>dfwgranitetx@gmail.com</t>
        </is>
      </c>
      <c r="D48" s="2" t="inlineStr">
        <is>
          <t>Versandbereit</t>
        </is>
      </c>
      <c r="E48" s="3" t="n"/>
      <c r="F48" s="3">
        <f>IF(OR(E48="",G48&lt;&gt;"",H48&lt;&gt;""),"",WORKDAY(E48,5))</f>
        <v/>
      </c>
      <c r="G48" s="3" t="n"/>
      <c r="H48" s="3" t="n"/>
      <c r="I48" s="2" t="n"/>
      <c r="J48" s="2">
        <f>IF(A48="","",IF(I48&lt;&gt;"","Antwort bearbeiten",IF(G48&lt;&gt;"",IF(TODAY()&gt;=WORKDAY(G48,7),"Als Keine Antwort abschließen","Warten auf Antwort"),IF(E48&lt;&gt;"",IF(TODAY()&gt;=F48,"Follow-up schreiben!","Warten bis Follow-up-Datum"),IF(D48="Versandbereit","Erstmail senden","Konzept fertigstellen")))))</f>
        <v/>
      </c>
      <c r="K48" s="2" t="inlineStr">
        <is>
          <t>15-Versandfertig-Laden</t>
        </is>
      </c>
      <c r="L48" s="2" t="inlineStr">
        <is>
          <t>Konzeptseite, PDF, Video und Mail fertig 10.10., versandbereit</t>
        </is>
      </c>
    </row>
    <row r="49">
      <c r="A49" s="2" t="inlineStr">
        <is>
          <t>DFW Auto Details</t>
        </is>
      </c>
      <c r="B49" s="2" t="inlineStr">
        <is>
          <t>Autopflege</t>
        </is>
      </c>
      <c r="C49" s="2" t="inlineStr">
        <is>
          <t>dfwautodetails@gmail.com</t>
        </is>
      </c>
      <c r="D49" s="2" t="inlineStr">
        <is>
          <t>Versandbereit</t>
        </is>
      </c>
      <c r="E49" s="3" t="n"/>
      <c r="F49" s="3">
        <f>IF(OR(E49="",G49&lt;&gt;"",H49&lt;&gt;""),"",WORKDAY(E49,5))</f>
        <v/>
      </c>
      <c r="G49" s="3" t="n"/>
      <c r="H49" s="3" t="n"/>
      <c r="I49" s="2" t="n"/>
      <c r="J49" s="2">
        <f>IF(A49="","",IF(I49&lt;&gt;"","Antwort bearbeiten",IF(G49&lt;&gt;"",IF(TODAY()&gt;=WORKDAY(G49,7),"Als Keine Antwort abschließen","Warten auf Antwort"),IF(E49&lt;&gt;"",IF(TODAY()&gt;=F49,"Follow-up schreiben!","Warten bis Follow-up-Datum"),IF(D49="Versandbereit","Erstmail senden","Konzept fertigstellen")))))</f>
        <v/>
      </c>
      <c r="K49" s="2" t="inlineStr">
        <is>
          <t>15-Versandfertig-Laden</t>
        </is>
      </c>
      <c r="L49" s="2" t="inlineStr">
        <is>
          <t>Konzeptseite, PDF, Video und Mail fertig 10.10., versandbereit</t>
        </is>
      </c>
    </row>
    <row r="50">
      <c r="A50" s="2" t="inlineStr">
        <is>
          <t>The Brooks at Weatherford</t>
        </is>
      </c>
      <c r="B50" s="2" t="inlineStr">
        <is>
          <t>Hochzeitsort</t>
        </is>
      </c>
      <c r="C50" s="2" t="inlineStr">
        <is>
          <t>info@thebrooksatweatherford.com</t>
        </is>
      </c>
      <c r="D50" s="2" t="inlineStr">
        <is>
          <t>Versandbereit</t>
        </is>
      </c>
      <c r="E50" s="3" t="n"/>
      <c r="F50" s="3">
        <f>IF(OR(E50="",G50&lt;&gt;"",H50&lt;&gt;""),"",WORKDAY(E50,5))</f>
        <v/>
      </c>
      <c r="G50" s="3" t="n"/>
      <c r="H50" s="3" t="n"/>
      <c r="I50" s="2" t="n"/>
      <c r="J50" s="2">
        <f>IF(A50="","",IF(I50&lt;&gt;"","Antwort bearbeiten",IF(G50&lt;&gt;"",IF(TODAY()&gt;=WORKDAY(G50,7),"Als Keine Antwort abschließen","Warten auf Antwort"),IF(E50&lt;&gt;"",IF(TODAY()&gt;=F50,"Follow-up schreiben!","Warten bis Follow-up-Datum"),IF(D50="Versandbereit","Erstmail senden","Konzept fertigstellen")))))</f>
        <v/>
      </c>
      <c r="K50" s="2" t="inlineStr">
        <is>
          <t>16-Versandfertig-Umland</t>
        </is>
      </c>
      <c r="L50" s="2" t="inlineStr">
        <is>
          <t>Konzeptseite, PDF, Video und Mail fertig 10.10., versandbereit</t>
        </is>
      </c>
    </row>
    <row r="51">
      <c r="A51" s="2" t="inlineStr">
        <is>
          <t>Mobile Dog Grooming</t>
        </is>
      </c>
      <c r="B51" s="2" t="inlineStr">
        <is>
          <t>Mobiler Hundesalon</t>
        </is>
      </c>
      <c r="C51" s="2" t="inlineStr">
        <is>
          <t>kdoby39@gmail.com</t>
        </is>
      </c>
      <c r="D51" s="2" t="inlineStr">
        <is>
          <t>Versandbereit</t>
        </is>
      </c>
      <c r="E51" s="3" t="n"/>
      <c r="F51" s="3">
        <f>IF(OR(E51="",G51&lt;&gt;"",H51&lt;&gt;""),"",WORKDAY(E51,5))</f>
        <v/>
      </c>
      <c r="G51" s="3" t="n"/>
      <c r="H51" s="3" t="n"/>
      <c r="I51" s="2" t="n"/>
      <c r="J51" s="2">
        <f>IF(A51="","",IF(I51&lt;&gt;"","Antwort bearbeiten",IF(G51&lt;&gt;"",IF(TODAY()&gt;=WORKDAY(G51,7),"Als Keine Antwort abschließen","Warten auf Antwort"),IF(E51&lt;&gt;"",IF(TODAY()&gt;=F51,"Follow-up schreiben!","Warten bis Follow-up-Datum"),IF(D51="Versandbereit","Erstmail senden","Konzept fertigstellen")))))</f>
        <v/>
      </c>
      <c r="K51" s="2" t="inlineStr">
        <is>
          <t>16-Versandfertig-Umland</t>
        </is>
      </c>
      <c r="L51" s="2" t="inlineStr">
        <is>
          <t>Konzeptseite, PDF, Video und Mail fertig 10.10., versandbereit</t>
        </is>
      </c>
    </row>
    <row r="52">
      <c r="A52" s="2" t="inlineStr">
        <is>
          <t>Doc's Records</t>
        </is>
      </c>
      <c r="B52" s="2" t="inlineStr">
        <is>
          <t>Plattenladen</t>
        </is>
      </c>
      <c r="C52" s="2" t="inlineStr">
        <is>
          <t>daniel@docsrecords.com</t>
        </is>
      </c>
      <c r="D52" s="2" t="inlineStr">
        <is>
          <t>Versandbereit</t>
        </is>
      </c>
      <c r="E52" s="3" t="n"/>
      <c r="F52" s="3">
        <f>IF(OR(E52="",G52&lt;&gt;"",H52&lt;&gt;""),"",WORKDAY(E52,5))</f>
        <v/>
      </c>
      <c r="G52" s="3" t="n"/>
      <c r="H52" s="3" t="n"/>
      <c r="I52" s="2" t="n"/>
      <c r="J52" s="2">
        <f>IF(A52="","",IF(I52&lt;&gt;"","Antwort bearbeiten",IF(G52&lt;&gt;"",IF(TODAY()&gt;=WORKDAY(G52,7),"Als Keine Antwort abschließen","Warten auf Antwort"),IF(E52&lt;&gt;"",IF(TODAY()&gt;=F52,"Follow-up schreiben!","Warten bis Follow-up-Datum"),IF(D52="Versandbereit","Erstmail senden","Konzept fertigstellen")))))</f>
        <v/>
      </c>
      <c r="K52" s="2" t="inlineStr">
        <is>
          <t>16-Versandfertig-Umland</t>
        </is>
      </c>
      <c r="L52" s="2" t="inlineStr">
        <is>
          <t>Konzeptseite, PDF, Video und Mail fertig 10.10., versandbereit</t>
        </is>
      </c>
    </row>
    <row r="53">
      <c r="A53" s="2" t="inlineStr">
        <is>
          <t>HopFusion Ale Works</t>
        </is>
      </c>
      <c r="B53" s="2" t="inlineStr">
        <is>
          <t>Brauerei</t>
        </is>
      </c>
      <c r="C53" s="2" t="inlineStr">
        <is>
          <t>info@hopfusionaleworks.com</t>
        </is>
      </c>
      <c r="D53" s="2" t="inlineStr">
        <is>
          <t>Versandbereit</t>
        </is>
      </c>
      <c r="E53" s="3" t="n"/>
      <c r="F53" s="3">
        <f>IF(OR(E53="",G53&lt;&gt;"",H53&lt;&gt;""),"",WORKDAY(E53,5))</f>
        <v/>
      </c>
      <c r="G53" s="3" t="n"/>
      <c r="H53" s="3" t="n"/>
      <c r="I53" s="2" t="n"/>
      <c r="J53" s="2">
        <f>IF(A53="","",IF(I53&lt;&gt;"","Antwort bearbeiten",IF(G53&lt;&gt;"",IF(TODAY()&gt;=WORKDAY(G53,7),"Als Keine Antwort abschließen","Warten auf Antwort"),IF(E53&lt;&gt;"",IF(TODAY()&gt;=F53,"Follow-up schreiben!","Warten bis Follow-up-Datum"),IF(D53="Versandbereit","Erstmail senden","Konzept fertigstellen")))))</f>
        <v/>
      </c>
      <c r="K53" s="2" t="inlineStr">
        <is>
          <t>16-Versandfertig-Umland</t>
        </is>
      </c>
      <c r="L53" s="2" t="inlineStr">
        <is>
          <t>Konzeptseite, PDF, Video und Mail fertig 10.10., versandbereit</t>
        </is>
      </c>
    </row>
    <row r="54">
      <c r="A54" s="2" t="inlineStr">
        <is>
          <t>Pitchford Pest Control</t>
        </is>
      </c>
      <c r="B54" s="2" t="inlineStr">
        <is>
          <t>Schädlingsbekämpfung</t>
        </is>
      </c>
      <c r="C54" s="2" t="inlineStr">
        <is>
          <t>pitchfordpest@hotmail.com</t>
        </is>
      </c>
      <c r="D54" s="2" t="inlineStr">
        <is>
          <t>Versandbereit</t>
        </is>
      </c>
      <c r="E54" s="3" t="n"/>
      <c r="F54" s="3">
        <f>IF(OR(E54="",G54&lt;&gt;"",H54&lt;&gt;""),"",WORKDAY(E54,5))</f>
        <v/>
      </c>
      <c r="G54" s="3" t="n"/>
      <c r="H54" s="3" t="n"/>
      <c r="I54" s="2" t="n"/>
      <c r="J54" s="2">
        <f>IF(A54="","",IF(I54&lt;&gt;"","Antwort bearbeiten",IF(G54&lt;&gt;"",IF(TODAY()&gt;=WORKDAY(G54,7),"Als Keine Antwort abschließen","Warten auf Antwort"),IF(E54&lt;&gt;"",IF(TODAY()&gt;=F54,"Follow-up schreiben!","Warten bis Follow-up-Datum"),IF(D54="Versandbereit","Erstmail senden","Konzept fertigstellen")))))</f>
        <v/>
      </c>
      <c r="K54" s="2" t="inlineStr">
        <is>
          <t>16-Versandfertig-Umland</t>
        </is>
      </c>
      <c r="L54" s="2" t="inlineStr">
        <is>
          <t>Konzeptseite, PDF, Video und Mail fertig 10.10., versandbereit</t>
        </is>
      </c>
    </row>
    <row r="55">
      <c r="A55" s="2" t="inlineStr">
        <is>
          <t>Triple J Ranch Feed Store</t>
        </is>
      </c>
      <c r="B55" s="2" t="inlineStr">
        <is>
          <t>Futtermittelladen</t>
        </is>
      </c>
      <c r="C55" s="2" t="inlineStr">
        <is>
          <t>triplejranchfeeds@gmail.com</t>
        </is>
      </c>
      <c r="D55" s="2" t="inlineStr">
        <is>
          <t>Versandbereit</t>
        </is>
      </c>
      <c r="E55" s="3" t="n"/>
      <c r="F55" s="3">
        <f>IF(OR(E55="",G55&lt;&gt;"",H55&lt;&gt;""),"",WORKDAY(E55,5))</f>
        <v/>
      </c>
      <c r="G55" s="3" t="n"/>
      <c r="H55" s="3" t="n"/>
      <c r="I55" s="2" t="n"/>
      <c r="J55" s="2">
        <f>IF(A55="","",IF(I55&lt;&gt;"","Antwort bearbeiten",IF(G55&lt;&gt;"",IF(TODAY()&gt;=WORKDAY(G55,7),"Als Keine Antwort abschließen","Warten auf Antwort"),IF(E55&lt;&gt;"",IF(TODAY()&gt;=F55,"Follow-up schreiben!","Warten bis Follow-up-Datum"),IF(D55="Versandbereit","Erstmail senden","Konzept fertigstellen")))))</f>
        <v/>
      </c>
      <c r="K55" s="2" t="inlineStr">
        <is>
          <t>17-Versandfertig-Land</t>
        </is>
      </c>
      <c r="L55" s="2" t="inlineStr">
        <is>
          <t>Konzeptseite, PDF, Video und Mail fertig 11.10., versandbereit</t>
        </is>
      </c>
    </row>
    <row r="56">
      <c r="A56" s="2" t="inlineStr">
        <is>
          <t>RTM Ranch Stables (Royal M Stables)</t>
        </is>
      </c>
      <c r="B56" s="2" t="inlineStr">
        <is>
          <t>Pferdestall &amp; Reitschule</t>
        </is>
      </c>
      <c r="C56" s="2" t="inlineStr">
        <is>
          <t>rtmranch@ymail.com</t>
        </is>
      </c>
      <c r="D56" s="2" t="inlineStr">
        <is>
          <t>Versandbereit</t>
        </is>
      </c>
      <c r="E56" s="3" t="n"/>
      <c r="F56" s="3">
        <f>IF(OR(E56="",G56&lt;&gt;"",H56&lt;&gt;""),"",WORKDAY(E56,5))</f>
        <v/>
      </c>
      <c r="G56" s="3" t="n"/>
      <c r="H56" s="3" t="n"/>
      <c r="I56" s="2" t="n"/>
      <c r="J56" s="2">
        <f>IF(A56="","",IF(I56&lt;&gt;"","Antwort bearbeiten",IF(G56&lt;&gt;"",IF(TODAY()&gt;=WORKDAY(G56,7),"Als Keine Antwort abschließen","Warten auf Antwort"),IF(E56&lt;&gt;"",IF(TODAY()&gt;=F56,"Follow-up schreiben!","Warten bis Follow-up-Datum"),IF(D56="Versandbereit","Erstmail senden","Konzept fertigstellen")))))</f>
        <v/>
      </c>
      <c r="K56" s="2" t="inlineStr">
        <is>
          <t>17-Versandfertig-Land</t>
        </is>
      </c>
      <c r="L56" s="2" t="inlineStr">
        <is>
          <t>Konzeptseite, PDF, Video und Mail fertig 11.10., versandbereit</t>
        </is>
      </c>
    </row>
    <row r="57">
      <c r="A57" s="2" t="inlineStr">
        <is>
          <t>Linda's Jewelry</t>
        </is>
      </c>
      <c r="B57" s="2" t="inlineStr">
        <is>
          <t>Juwelier</t>
        </is>
      </c>
      <c r="C57" s="2" t="inlineStr">
        <is>
          <t>lindasjewelrygold@gmail.com</t>
        </is>
      </c>
      <c r="D57" s="2" t="inlineStr">
        <is>
          <t>Versandbereit</t>
        </is>
      </c>
      <c r="E57" s="3" t="n"/>
      <c r="F57" s="3">
        <f>IF(OR(E57="",G57&lt;&gt;"",H57&lt;&gt;""),"",WORKDAY(E57,5))</f>
        <v/>
      </c>
      <c r="G57" s="3" t="n"/>
      <c r="H57" s="3" t="n"/>
      <c r="I57" s="2" t="n"/>
      <c r="J57" s="2">
        <f>IF(A57="","",IF(I57&lt;&gt;"","Antwort bearbeiten",IF(G57&lt;&gt;"",IF(TODAY()&gt;=WORKDAY(G57,7),"Als Keine Antwort abschließen","Warten auf Antwort"),IF(E57&lt;&gt;"",IF(TODAY()&gt;=F57,"Follow-up schreiben!","Warten bis Follow-up-Datum"),IF(D57="Versandbereit","Erstmail senden","Konzept fertigstellen")))))</f>
        <v/>
      </c>
      <c r="K57" s="2" t="inlineStr">
        <is>
          <t>17-Versandfertig-Land</t>
        </is>
      </c>
      <c r="L57" s="2" t="inlineStr">
        <is>
          <t>Konzeptseite, PDF, Video und Mail fertig 11.10., versandbereit</t>
        </is>
      </c>
    </row>
    <row r="58">
      <c r="A58" s="2" t="inlineStr">
        <is>
          <t>Furniture &amp; Upholstery Repair &amp; Restoration</t>
        </is>
      </c>
      <c r="B58" s="2" t="inlineStr">
        <is>
          <t>Möbelrestaurierung &amp; Polsterei</t>
        </is>
      </c>
      <c r="C58" s="2" t="inlineStr">
        <is>
          <t>furniturerepair101@icloud.com</t>
        </is>
      </c>
      <c r="D58" s="2" t="inlineStr">
        <is>
          <t>Versandbereit</t>
        </is>
      </c>
      <c r="E58" s="3" t="n"/>
      <c r="F58" s="3">
        <f>IF(OR(E58="",G58&lt;&gt;"",H58&lt;&gt;""),"",WORKDAY(E58,5))</f>
        <v/>
      </c>
      <c r="G58" s="3" t="n"/>
      <c r="H58" s="3" t="n"/>
      <c r="I58" s="2" t="n"/>
      <c r="J58" s="2">
        <f>IF(A58="","",IF(I58&lt;&gt;"","Antwort bearbeiten",IF(G58&lt;&gt;"",IF(TODAY()&gt;=WORKDAY(G58,7),"Als Keine Antwort abschließen","Warten auf Antwort"),IF(E58&lt;&gt;"",IF(TODAY()&gt;=F58,"Follow-up schreiben!","Warten bis Follow-up-Datum"),IF(D58="Versandbereit","Erstmail senden","Konzept fertigstellen")))))</f>
        <v/>
      </c>
      <c r="K58" s="2" t="inlineStr">
        <is>
          <t>17-Versandfertig-Land</t>
        </is>
      </c>
      <c r="L58" s="2" t="inlineStr">
        <is>
          <t>Konzeptseite, PDF, Video und Mail fertig 11.10., versandbereit</t>
        </is>
      </c>
    </row>
    <row r="59">
      <c r="A59" s="2" t="n"/>
      <c r="B59" s="2" t="n"/>
      <c r="C59" s="2" t="n"/>
      <c r="D59" s="2" t="n"/>
      <c r="E59" s="3" t="n"/>
      <c r="F59" s="3" t="n"/>
      <c r="G59" s="3" t="n"/>
      <c r="H59" s="3" t="n"/>
      <c r="I59" s="2" t="n"/>
      <c r="J59" s="2" t="n"/>
      <c r="K59" s="2" t="n"/>
      <c r="L59" s="2" t="n"/>
    </row>
    <row r="60">
      <c r="A60" s="2" t="n"/>
      <c r="B60" s="2" t="n"/>
      <c r="C60" s="2" t="n"/>
      <c r="D60" s="2" t="n"/>
      <c r="E60" s="3" t="n"/>
      <c r="F60" s="3">
        <f>IF(OR(E60="",G60&lt;&gt;"",H60&lt;&gt;""),"",WORKDAY(E60,5))</f>
        <v/>
      </c>
      <c r="G60" s="3" t="n"/>
      <c r="H60" s="3" t="n"/>
      <c r="I60" s="2" t="n"/>
      <c r="J60" s="2">
        <f>IF(A60="","",IF(I60&lt;&gt;"","Antwort bearbeiten",IF(G60&lt;&gt;"",IF(TODAY()&gt;=WORKDAY(G60,7),"Als Keine Antwort abschließen","Warten auf Antwort"),IF(E60&lt;&gt;"",IF(TODAY()&gt;=F60,"Follow-up schreiben!","Warten bis Follow-up-Datum"),IF(D60="Versandbereit","Erstmail senden","Konzept fertigstellen")))))</f>
        <v/>
      </c>
      <c r="K60" s="2" t="n"/>
      <c r="L60" s="2" t="n"/>
    </row>
    <row r="61">
      <c r="A61" s="2" t="n"/>
      <c r="B61" s="2" t="n"/>
      <c r="C61" s="2" t="n"/>
      <c r="D61" s="2" t="n"/>
      <c r="E61" s="3" t="n"/>
      <c r="F61" s="3">
        <f>IF(OR(E61="",G61&lt;&gt;"",H61&lt;&gt;""),"",WORKDAY(E61,5))</f>
        <v/>
      </c>
      <c r="G61" s="3" t="n"/>
      <c r="H61" s="3" t="n"/>
      <c r="I61" s="2" t="n"/>
      <c r="J61" s="2">
        <f>IF(A61="","",IF(I61&lt;&gt;"","Antwort bearbeiten",IF(G61&lt;&gt;"",IF(TODAY()&gt;=WORKDAY(G61,7),"Als Keine Antwort abschließen","Warten auf Antwort"),IF(E61&lt;&gt;"",IF(TODAY()&gt;=F61,"Follow-up schreiben!","Warten bis Follow-up-Datum"),IF(D61="Versandbereit","Erstmail senden","Konzept fertigstellen")))))</f>
        <v/>
      </c>
      <c r="K61" s="2" t="n"/>
      <c r="L61" s="2" t="n"/>
    </row>
    <row r="62">
      <c r="A62" s="2" t="n"/>
      <c r="B62" s="2" t="n"/>
      <c r="C62" s="2" t="n"/>
      <c r="D62" s="2" t="n"/>
      <c r="E62" s="3" t="n"/>
      <c r="F62" s="3">
        <f>IF(OR(E62="",G62&lt;&gt;"",H62&lt;&gt;""),"",WORKDAY(E62,5))</f>
        <v/>
      </c>
      <c r="G62" s="3" t="n"/>
      <c r="H62" s="3" t="n"/>
      <c r="I62" s="2" t="n"/>
      <c r="J62" s="2">
        <f>IF(A62="","",IF(I62&lt;&gt;"","Antwort bearbeiten",IF(G62&lt;&gt;"",IF(TODAY()&gt;=WORKDAY(G62,7),"Als Keine Antwort abschließen","Warten auf Antwort"),IF(E62&lt;&gt;"",IF(TODAY()&gt;=F62,"Follow-up schreiben!","Warten bis Follow-up-Datum"),IF(D62="Versandbereit","Erstmail senden","Konzept fertigstellen")))))</f>
        <v/>
      </c>
      <c r="K62" s="2" t="n"/>
      <c r="L62" s="2" t="n"/>
    </row>
    <row r="63">
      <c r="A63" s="2" t="n"/>
      <c r="B63" s="2" t="n"/>
      <c r="C63" s="2" t="n"/>
      <c r="D63" s="2" t="n"/>
      <c r="E63" s="3" t="n"/>
      <c r="F63" s="3">
        <f>IF(OR(E63="",G63&lt;&gt;"",H63&lt;&gt;""),"",WORKDAY(E63,5))</f>
        <v/>
      </c>
      <c r="G63" s="3" t="n"/>
      <c r="H63" s="3" t="n"/>
      <c r="I63" s="2" t="n"/>
      <c r="J63" s="2">
        <f>IF(A63="","",IF(I63&lt;&gt;"","Antwort bearbeiten",IF(G63&lt;&gt;"",IF(TODAY()&gt;=WORKDAY(G63,7),"Als Keine Antwort abschließen","Warten auf Antwort"),IF(E63&lt;&gt;"",IF(TODAY()&gt;=F63,"Follow-up schreiben!","Warten bis Follow-up-Datum"),IF(D63="Versandbereit","Erstmail senden","Konzept fertigstellen")))))</f>
        <v/>
      </c>
      <c r="K63" s="2" t="n"/>
      <c r="L63" s="2" t="n"/>
    </row>
    <row r="64">
      <c r="A64" s="2" t="n"/>
      <c r="B64" s="2" t="n"/>
      <c r="C64" s="2" t="n"/>
      <c r="D64" s="2" t="n"/>
      <c r="E64" s="3" t="n"/>
      <c r="F64" s="3">
        <f>IF(OR(E64="",G64&lt;&gt;"",H64&lt;&gt;""),"",WORKDAY(E64,5))</f>
        <v/>
      </c>
      <c r="G64" s="3" t="n"/>
      <c r="H64" s="3" t="n"/>
      <c r="I64" s="2" t="n"/>
      <c r="J64" s="2">
        <f>IF(A64="","",IF(I64&lt;&gt;"","Antwort bearbeiten",IF(G64&lt;&gt;"",IF(TODAY()&gt;=WORKDAY(G64,7),"Als Keine Antwort abschließen","Warten auf Antwort"),IF(E64&lt;&gt;"",IF(TODAY()&gt;=F64,"Follow-up schreiben!","Warten bis Follow-up-Datum"),IF(D64="Versandbereit","Erstmail senden","Konzept fertigstellen")))))</f>
        <v/>
      </c>
      <c r="K64" s="2" t="n"/>
      <c r="L64" s="2" t="n"/>
    </row>
    <row r="65">
      <c r="A65" s="2" t="n"/>
      <c r="B65" s="2" t="n"/>
      <c r="C65" s="2" t="n"/>
      <c r="D65" s="2" t="n"/>
      <c r="E65" s="3" t="n"/>
      <c r="F65" s="3">
        <f>IF(OR(E65="",G65&lt;&gt;"",H65&lt;&gt;""),"",WORKDAY(E65,5))</f>
        <v/>
      </c>
      <c r="G65" s="3" t="n"/>
      <c r="H65" s="3" t="n"/>
      <c r="I65" s="2" t="n"/>
      <c r="J65" s="2">
        <f>IF(A65="","",IF(I65&lt;&gt;"","Antwort bearbeiten",IF(G65&lt;&gt;"",IF(TODAY()&gt;=WORKDAY(G65,7),"Als Keine Antwort abschließen","Warten auf Antwort"),IF(E65&lt;&gt;"",IF(TODAY()&gt;=F65,"Follow-up schreiben!","Warten bis Follow-up-Datum"),IF(D65="Versandbereit","Erstmail senden","Konzept fertigstellen")))))</f>
        <v/>
      </c>
      <c r="K65" s="2" t="n"/>
      <c r="L65" s="2" t="n"/>
    </row>
    <row r="66">
      <c r="A66" s="2" t="n"/>
      <c r="B66" s="2" t="n"/>
      <c r="C66" s="2" t="n"/>
      <c r="D66" s="2" t="n"/>
      <c r="E66" s="3" t="n"/>
      <c r="F66" s="3">
        <f>IF(OR(E66="",G66&lt;&gt;"",H66&lt;&gt;""),"",WORKDAY(E66,5))</f>
        <v/>
      </c>
      <c r="G66" s="3" t="n"/>
      <c r="H66" s="3" t="n"/>
      <c r="I66" s="2" t="n"/>
      <c r="J66" s="2">
        <f>IF(A66="","",IF(I66&lt;&gt;"","Antwort bearbeiten",IF(G66&lt;&gt;"",IF(TODAY()&gt;=WORKDAY(G66,7),"Als Keine Antwort abschließen","Warten auf Antwort"),IF(E66&lt;&gt;"",IF(TODAY()&gt;=F66,"Follow-up schreiben!","Warten bis Follow-up-Datum"),IF(D66="Versandbereit","Erstmail senden","Konzept fertigstellen")))))</f>
        <v/>
      </c>
      <c r="K66" s="2" t="n"/>
      <c r="L66" s="2" t="n"/>
    </row>
    <row r="67">
      <c r="A67" s="2" t="n"/>
      <c r="B67" s="2" t="n"/>
      <c r="C67" s="2" t="n"/>
      <c r="D67" s="2" t="n"/>
      <c r="E67" s="3" t="n"/>
      <c r="F67" s="3">
        <f>IF(OR(E67="",G67&lt;&gt;"",H67&lt;&gt;""),"",WORKDAY(E67,5))</f>
        <v/>
      </c>
      <c r="G67" s="3" t="n"/>
      <c r="H67" s="3" t="n"/>
      <c r="I67" s="2" t="n"/>
      <c r="J67" s="2">
        <f>IF(A67="","",IF(I67&lt;&gt;"","Antwort bearbeiten",IF(G67&lt;&gt;"",IF(TODAY()&gt;=WORKDAY(G67,7),"Als Keine Antwort abschließen","Warten auf Antwort"),IF(E67&lt;&gt;"",IF(TODAY()&gt;=F67,"Follow-up schreiben!","Warten bis Follow-up-Datum"),IF(D67="Versandbereit","Erstmail senden","Konzept fertigstellen")))))</f>
        <v/>
      </c>
      <c r="K67" s="2" t="n"/>
      <c r="L67" s="2" t="n"/>
    </row>
    <row r="68">
      <c r="A68" s="2" t="n"/>
      <c r="B68" s="2" t="n"/>
      <c r="C68" s="2" t="n"/>
      <c r="D68" s="2" t="n"/>
      <c r="E68" s="3" t="n"/>
      <c r="F68" s="3">
        <f>IF(OR(E68="",G68&lt;&gt;"",H68&lt;&gt;""),"",WORKDAY(E68,5))</f>
        <v/>
      </c>
      <c r="G68" s="3" t="n"/>
      <c r="H68" s="3" t="n"/>
      <c r="I68" s="2" t="n"/>
      <c r="J68" s="2">
        <f>IF(A68="","",IF(I68&lt;&gt;"","Antwort bearbeiten",IF(G68&lt;&gt;"",IF(TODAY()&gt;=WORKDAY(G68,7),"Als Keine Antwort abschließen","Warten auf Antwort"),IF(E68&lt;&gt;"",IF(TODAY()&gt;=F68,"Follow-up schreiben!","Warten bis Follow-up-Datum"),IF(D68="Versandbereit","Erstmail senden","Konzept fertigstellen")))))</f>
        <v/>
      </c>
      <c r="K68" s="2" t="n"/>
      <c r="L68" s="2" t="n"/>
    </row>
    <row r="69">
      <c r="A69" s="2" t="n"/>
      <c r="B69" s="2" t="n"/>
      <c r="C69" s="2" t="n"/>
      <c r="D69" s="2" t="n"/>
      <c r="E69" s="3" t="n"/>
      <c r="F69" s="3">
        <f>IF(OR(E69="",G69&lt;&gt;"",H69&lt;&gt;""),"",WORKDAY(E69,5))</f>
        <v/>
      </c>
      <c r="G69" s="3" t="n"/>
      <c r="H69" s="3" t="n"/>
      <c r="I69" s="2" t="n"/>
      <c r="J69" s="2">
        <f>IF(A69="","",IF(I69&lt;&gt;"","Antwort bearbeiten",IF(G69&lt;&gt;"",IF(TODAY()&gt;=WORKDAY(G69,7),"Als Keine Antwort abschließen","Warten auf Antwort"),IF(E69&lt;&gt;"",IF(TODAY()&gt;=F69,"Follow-up schreiben!","Warten bis Follow-up-Datum"),IF(D69="Versandbereit","Erstmail senden","Konzept fertigstellen")))))</f>
        <v/>
      </c>
      <c r="K69" s="2" t="n"/>
      <c r="L69" s="2" t="n"/>
    </row>
    <row r="70">
      <c r="A70" s="2" t="n"/>
      <c r="B70" s="2" t="n"/>
      <c r="C70" s="2" t="n"/>
      <c r="D70" s="2" t="n"/>
      <c r="E70" s="3" t="n"/>
      <c r="F70" s="3">
        <f>IF(OR(E70="",G70&lt;&gt;"",H70&lt;&gt;""),"",WORKDAY(E70,5))</f>
        <v/>
      </c>
      <c r="G70" s="3" t="n"/>
      <c r="H70" s="3" t="n"/>
      <c r="I70" s="2" t="n"/>
      <c r="J70" s="2">
        <f>IF(A70="","",IF(I70&lt;&gt;"","Antwort bearbeiten",IF(G70&lt;&gt;"",IF(TODAY()&gt;=WORKDAY(G70,7),"Als Keine Antwort abschließen","Warten auf Antwort"),IF(E70&lt;&gt;"",IF(TODAY()&gt;=F70,"Follow-up schreiben!","Warten bis Follow-up-Datum"),IF(D70="Versandbereit","Erstmail senden","Konzept fertigstellen")))))</f>
        <v/>
      </c>
      <c r="K70" s="2" t="n"/>
      <c r="L70" s="2" t="n"/>
    </row>
    <row r="71">
      <c r="A71" s="2" t="n"/>
      <c r="B71" s="2" t="n"/>
      <c r="C71" s="2" t="n"/>
      <c r="D71" s="2" t="n"/>
      <c r="E71" s="3" t="n"/>
      <c r="F71" s="3">
        <f>IF(OR(E71="",G71&lt;&gt;"",H71&lt;&gt;""),"",WORKDAY(E71,5))</f>
        <v/>
      </c>
      <c r="G71" s="3" t="n"/>
      <c r="H71" s="3" t="n"/>
      <c r="I71" s="2" t="n"/>
      <c r="J71" s="2">
        <f>IF(A71="","",IF(I71&lt;&gt;"","Antwort bearbeiten",IF(G71&lt;&gt;"",IF(TODAY()&gt;=WORKDAY(G71,7),"Als Keine Antwort abschließen","Warten auf Antwort"),IF(E71&lt;&gt;"",IF(TODAY()&gt;=F71,"Follow-up schreiben!","Warten bis Follow-up-Datum"),IF(D71="Versandbereit","Erstmail senden","Konzept fertigstellen")))))</f>
        <v/>
      </c>
      <c r="K71" s="2" t="n"/>
      <c r="L71" s="2" t="n"/>
    </row>
    <row r="72">
      <c r="A72" s="2" t="n"/>
      <c r="B72" s="2" t="n"/>
      <c r="C72" s="2" t="n"/>
      <c r="D72" s="2" t="n"/>
      <c r="E72" s="3" t="n"/>
      <c r="F72" s="3">
        <f>IF(OR(E72="",G72&lt;&gt;"",H72&lt;&gt;""),"",WORKDAY(E72,5))</f>
        <v/>
      </c>
      <c r="G72" s="3" t="n"/>
      <c r="H72" s="3" t="n"/>
      <c r="I72" s="2" t="n"/>
      <c r="J72" s="2">
        <f>IF(A72="","",IF(I72&lt;&gt;"","Antwort bearbeiten",IF(G72&lt;&gt;"",IF(TODAY()&gt;=WORKDAY(G72,7),"Als Keine Antwort abschließen","Warten auf Antwort"),IF(E72&lt;&gt;"",IF(TODAY()&gt;=F72,"Follow-up schreiben!","Warten bis Follow-up-Datum"),IF(D72="Versandbereit","Erstmail senden","Konzept fertigstellen")))))</f>
        <v/>
      </c>
      <c r="K72" s="2" t="n"/>
      <c r="L72" s="2" t="n"/>
    </row>
    <row r="73">
      <c r="A73" s="2" t="n"/>
      <c r="B73" s="2" t="n"/>
      <c r="C73" s="2" t="n"/>
      <c r="D73" s="2" t="n"/>
      <c r="E73" s="3" t="n"/>
      <c r="F73" s="3">
        <f>IF(OR(E73="",G73&lt;&gt;"",H73&lt;&gt;""),"",WORKDAY(E73,5))</f>
        <v/>
      </c>
      <c r="G73" s="3" t="n"/>
      <c r="H73" s="3" t="n"/>
      <c r="I73" s="2" t="n"/>
      <c r="J73" s="2">
        <f>IF(A73="","",IF(I73&lt;&gt;"","Antwort bearbeiten",IF(G73&lt;&gt;"",IF(TODAY()&gt;=WORKDAY(G73,7),"Als Keine Antwort abschließen","Warten auf Antwort"),IF(E73&lt;&gt;"",IF(TODAY()&gt;=F73,"Follow-up schreiben!","Warten bis Follow-up-Datum"),IF(D73="Versandbereit","Erstmail senden","Konzept fertigstellen")))))</f>
        <v/>
      </c>
      <c r="K73" s="2" t="n"/>
      <c r="L73" s="2" t="n"/>
    </row>
    <row r="74">
      <c r="A74" s="2" t="n"/>
      <c r="B74" s="2" t="n"/>
      <c r="C74" s="2" t="n"/>
      <c r="D74" s="2" t="n"/>
      <c r="E74" s="3" t="n"/>
      <c r="F74" s="3">
        <f>IF(OR(E74="",G74&lt;&gt;"",H74&lt;&gt;""),"",WORKDAY(E74,5))</f>
        <v/>
      </c>
      <c r="G74" s="3" t="n"/>
      <c r="H74" s="3" t="n"/>
      <c r="I74" s="2" t="n"/>
      <c r="J74" s="2">
        <f>IF(A74="","",IF(I74&lt;&gt;"","Antwort bearbeiten",IF(G74&lt;&gt;"",IF(TODAY()&gt;=WORKDAY(G74,7),"Als Keine Antwort abschließen","Warten auf Antwort"),IF(E74&lt;&gt;"",IF(TODAY()&gt;=F74,"Follow-up schreiben!","Warten bis Follow-up-Datum"),IF(D74="Versandbereit","Erstmail senden","Konzept fertigstellen")))))</f>
        <v/>
      </c>
      <c r="K74" s="2" t="n"/>
      <c r="L74" s="2" t="n"/>
    </row>
    <row r="75">
      <c r="A75" s="2" t="n"/>
      <c r="B75" s="2" t="n"/>
      <c r="C75" s="2" t="n"/>
      <c r="D75" s="2" t="n"/>
      <c r="E75" s="3" t="n"/>
      <c r="F75" s="3">
        <f>IF(OR(E75="",G75&lt;&gt;"",H75&lt;&gt;""),"",WORKDAY(E75,5))</f>
        <v/>
      </c>
      <c r="G75" s="3" t="n"/>
      <c r="H75" s="3" t="n"/>
      <c r="I75" s="2" t="n"/>
      <c r="J75" s="2">
        <f>IF(A75="","",IF(I75&lt;&gt;"","Antwort bearbeiten",IF(G75&lt;&gt;"",IF(TODAY()&gt;=WORKDAY(G75,7),"Als Keine Antwort abschließen","Warten auf Antwort"),IF(E75&lt;&gt;"",IF(TODAY()&gt;=F75,"Follow-up schreiben!","Warten bis Follow-up-Datum"),IF(D75="Versandbereit","Erstmail senden","Konzept fertigstellen")))))</f>
        <v/>
      </c>
      <c r="K75" s="2" t="n"/>
      <c r="L75" s="2" t="n"/>
    </row>
    <row r="76">
      <c r="A76" s="2" t="n"/>
      <c r="B76" s="2" t="n"/>
      <c r="C76" s="2" t="n"/>
      <c r="D76" s="2" t="n"/>
      <c r="E76" s="3" t="n"/>
      <c r="F76" s="3">
        <f>IF(OR(E76="",G76&lt;&gt;"",H76&lt;&gt;""),"",WORKDAY(E76,5))</f>
        <v/>
      </c>
      <c r="G76" s="3" t="n"/>
      <c r="H76" s="3" t="n"/>
      <c r="I76" s="2" t="n"/>
      <c r="J76" s="2">
        <f>IF(A76="","",IF(I76&lt;&gt;"","Antwort bearbeiten",IF(G76&lt;&gt;"",IF(TODAY()&gt;=WORKDAY(G76,7),"Als Keine Antwort abschließen","Warten auf Antwort"),IF(E76&lt;&gt;"",IF(TODAY()&gt;=F76,"Follow-up schreiben!","Warten bis Follow-up-Datum"),IF(D76="Versandbereit","Erstmail senden","Konzept fertigstellen")))))</f>
        <v/>
      </c>
      <c r="K76" s="2" t="n"/>
      <c r="L76" s="2" t="n"/>
    </row>
    <row r="77">
      <c r="A77" s="2" t="n"/>
      <c r="B77" s="2" t="n"/>
      <c r="C77" s="2" t="n"/>
      <c r="D77" s="2" t="n"/>
      <c r="E77" s="3" t="n"/>
      <c r="F77" s="3">
        <f>IF(OR(E77="",G77&lt;&gt;"",H77&lt;&gt;""),"",WORKDAY(E77,5))</f>
        <v/>
      </c>
      <c r="G77" s="3" t="n"/>
      <c r="H77" s="3" t="n"/>
      <c r="I77" s="2" t="n"/>
      <c r="J77" s="2">
        <f>IF(A77="","",IF(I77&lt;&gt;"","Antwort bearbeiten",IF(G77&lt;&gt;"",IF(TODAY()&gt;=WORKDAY(G77,7),"Als Keine Antwort abschließen","Warten auf Antwort"),IF(E77&lt;&gt;"",IF(TODAY()&gt;=F77,"Follow-up schreiben!","Warten bis Follow-up-Datum"),IF(D77="Versandbereit","Erstmail senden","Konzept fertigstellen")))))</f>
        <v/>
      </c>
      <c r="K77" s="2" t="n"/>
      <c r="L77" s="2" t="n"/>
    </row>
    <row r="78">
      <c r="A78" s="2" t="n"/>
      <c r="B78" s="2" t="n"/>
      <c r="C78" s="2" t="n"/>
      <c r="D78" s="2" t="n"/>
      <c r="E78" s="3" t="n"/>
      <c r="F78" s="3">
        <f>IF(OR(E78="",G78&lt;&gt;"",H78&lt;&gt;""),"",WORKDAY(E78,5))</f>
        <v/>
      </c>
      <c r="G78" s="3" t="n"/>
      <c r="H78" s="3" t="n"/>
      <c r="I78" s="2" t="n"/>
      <c r="J78" s="2">
        <f>IF(A78="","",IF(I78&lt;&gt;"","Antwort bearbeiten",IF(G78&lt;&gt;"",IF(TODAY()&gt;=WORKDAY(G78,7),"Als Keine Antwort abschließen","Warten auf Antwort"),IF(E78&lt;&gt;"",IF(TODAY()&gt;=F78,"Follow-up schreiben!","Warten bis Follow-up-Datum"),IF(D78="Versandbereit","Erstmail senden","Konzept fertigstellen")))))</f>
        <v/>
      </c>
      <c r="K78" s="2" t="n"/>
      <c r="L78" s="2" t="n"/>
    </row>
    <row r="79">
      <c r="A79" s="2" t="n"/>
      <c r="B79" s="2" t="n"/>
      <c r="C79" s="2" t="n"/>
      <c r="D79" s="2" t="n"/>
      <c r="E79" s="3" t="n"/>
      <c r="F79" s="3">
        <f>IF(OR(E79="",G79&lt;&gt;"",H79&lt;&gt;""),"",WORKDAY(E79,5))</f>
        <v/>
      </c>
      <c r="G79" s="3" t="n"/>
      <c r="H79" s="3" t="n"/>
      <c r="I79" s="2" t="n"/>
      <c r="J79" s="2">
        <f>IF(A79="","",IF(I79&lt;&gt;"","Antwort bearbeiten",IF(G79&lt;&gt;"",IF(TODAY()&gt;=WORKDAY(G79,7),"Als Keine Antwort abschließen","Warten auf Antwort"),IF(E79&lt;&gt;"",IF(TODAY()&gt;=F79,"Follow-up schreiben!","Warten bis Follow-up-Datum"),IF(D79="Versandbereit","Erstmail senden","Konzept fertigstellen")))))</f>
        <v/>
      </c>
      <c r="K79" s="2" t="n"/>
      <c r="L79" s="2" t="n"/>
    </row>
    <row r="80">
      <c r="A80" s="2" t="n"/>
      <c r="B80" s="2" t="n"/>
      <c r="C80" s="2" t="n"/>
      <c r="D80" s="2" t="n"/>
      <c r="E80" s="3" t="n"/>
      <c r="F80" s="3">
        <f>IF(OR(E80="",G80&lt;&gt;"",H80&lt;&gt;""),"",WORKDAY(E80,5))</f>
        <v/>
      </c>
      <c r="G80" s="3" t="n"/>
      <c r="H80" s="3" t="n"/>
      <c r="I80" s="2" t="n"/>
      <c r="J80" s="2">
        <f>IF(A80="","",IF(I80&lt;&gt;"","Antwort bearbeiten",IF(G80&lt;&gt;"",IF(TODAY()&gt;=WORKDAY(G80,7),"Als Keine Antwort abschließen","Warten auf Antwort"),IF(E80&lt;&gt;"",IF(TODAY()&gt;=F80,"Follow-up schreiben!","Warten bis Follow-up-Datum"),IF(D80="Versandbereit","Erstmail senden","Konzept fertigstellen")))))</f>
        <v/>
      </c>
      <c r="K80" s="2" t="n"/>
      <c r="L80" s="2" t="n"/>
    </row>
    <row r="81">
      <c r="A81" s="2" t="n"/>
      <c r="B81" s="2" t="n"/>
      <c r="C81" s="2" t="n"/>
      <c r="D81" s="2" t="n"/>
      <c r="E81" s="3" t="n"/>
      <c r="F81" s="3">
        <f>IF(OR(E81="",G81&lt;&gt;"",H81&lt;&gt;""),"",WORKDAY(E81,5))</f>
        <v/>
      </c>
      <c r="G81" s="3" t="n"/>
      <c r="H81" s="3" t="n"/>
      <c r="I81" s="2" t="n"/>
      <c r="J81" s="2">
        <f>IF(A81="","",IF(I81&lt;&gt;"","Antwort bearbeiten",IF(G81&lt;&gt;"",IF(TODAY()&gt;=WORKDAY(G81,7),"Als Keine Antwort abschließen","Warten auf Antwort"),IF(E81&lt;&gt;"",IF(TODAY()&gt;=F81,"Follow-up schreiben!","Warten bis Follow-up-Datum"),IF(D81="Versandbereit","Erstmail senden","Konzept fertigstellen")))))</f>
        <v/>
      </c>
      <c r="K81" s="2" t="n"/>
      <c r="L81" s="2" t="n"/>
    </row>
    <row r="82">
      <c r="A82" s="2" t="n"/>
      <c r="B82" s="2" t="n"/>
      <c r="C82" s="2" t="n"/>
      <c r="D82" s="2" t="n"/>
      <c r="E82" s="3" t="n"/>
      <c r="F82" s="3">
        <f>IF(OR(E82="",G82&lt;&gt;"",H82&lt;&gt;""),"",WORKDAY(E82,5))</f>
        <v/>
      </c>
      <c r="G82" s="3" t="n"/>
      <c r="H82" s="3" t="n"/>
      <c r="I82" s="2" t="n"/>
      <c r="J82" s="2">
        <f>IF(A82="","",IF(I82&lt;&gt;"","Antwort bearbeiten",IF(G82&lt;&gt;"",IF(TODAY()&gt;=WORKDAY(G82,7),"Als Keine Antwort abschließen","Warten auf Antwort"),IF(E82&lt;&gt;"",IF(TODAY()&gt;=F82,"Follow-up schreiben!","Warten bis Follow-up-Datum"),IF(D82="Versandbereit","Erstmail senden","Konzept fertigstellen")))))</f>
        <v/>
      </c>
      <c r="K82" s="2" t="n"/>
      <c r="L82" s="2" t="n"/>
    </row>
    <row r="83">
      <c r="A83" s="2" t="n"/>
      <c r="B83" s="2" t="n"/>
      <c r="C83" s="2" t="n"/>
      <c r="D83" s="2" t="n"/>
      <c r="E83" s="3" t="n"/>
      <c r="F83" s="3">
        <f>IF(OR(E83="",G83&lt;&gt;"",H83&lt;&gt;""),"",WORKDAY(E83,5))</f>
        <v/>
      </c>
      <c r="G83" s="3" t="n"/>
      <c r="H83" s="3" t="n"/>
      <c r="I83" s="2" t="n"/>
      <c r="J83" s="2">
        <f>IF(A83="","",IF(I83&lt;&gt;"","Antwort bearbeiten",IF(G83&lt;&gt;"",IF(TODAY()&gt;=WORKDAY(G83,7),"Als Keine Antwort abschließen","Warten auf Antwort"),IF(E83&lt;&gt;"",IF(TODAY()&gt;=F83,"Follow-up schreiben!","Warten bis Follow-up-Datum"),IF(D83="Versandbereit","Erstmail senden","Konzept fertigstellen")))))</f>
        <v/>
      </c>
      <c r="K83" s="2" t="n"/>
      <c r="L83" s="2" t="n"/>
    </row>
    <row r="84">
      <c r="A84" s="2" t="n"/>
      <c r="B84" s="2" t="n"/>
      <c r="C84" s="2" t="n"/>
      <c r="D84" s="2" t="n"/>
      <c r="E84" s="3" t="n"/>
      <c r="F84" s="3">
        <f>IF(OR(E84="",G84&lt;&gt;"",H84&lt;&gt;""),"",WORKDAY(E84,5))</f>
        <v/>
      </c>
      <c r="G84" s="3" t="n"/>
      <c r="H84" s="3" t="n"/>
      <c r="I84" s="2" t="n"/>
      <c r="J84" s="2">
        <f>IF(A84="","",IF(I84&lt;&gt;"","Antwort bearbeiten",IF(G84&lt;&gt;"",IF(TODAY()&gt;=WORKDAY(G84,7),"Als Keine Antwort abschließen","Warten auf Antwort"),IF(E84&lt;&gt;"",IF(TODAY()&gt;=F84,"Follow-up schreiben!","Warten bis Follow-up-Datum"),IF(D84="Versandbereit","Erstmail senden","Konzept fertigstellen")))))</f>
        <v/>
      </c>
      <c r="K84" s="2" t="n"/>
      <c r="L84" s="2" t="n"/>
    </row>
    <row r="85">
      <c r="A85" s="2" t="n"/>
      <c r="B85" s="2" t="n"/>
      <c r="C85" s="2" t="n"/>
      <c r="D85" s="2" t="n"/>
      <c r="E85" s="3" t="n"/>
      <c r="F85" s="3">
        <f>IF(OR(E85="",G85&lt;&gt;"",H85&lt;&gt;""),"",WORKDAY(E85,5))</f>
        <v/>
      </c>
      <c r="G85" s="3" t="n"/>
      <c r="H85" s="3" t="n"/>
      <c r="I85" s="2" t="n"/>
      <c r="J85" s="2">
        <f>IF(A85="","",IF(I85&lt;&gt;"","Antwort bearbeiten",IF(G85&lt;&gt;"",IF(TODAY()&gt;=WORKDAY(G85,7),"Als Keine Antwort abschließen","Warten auf Antwort"),IF(E85&lt;&gt;"",IF(TODAY()&gt;=F85,"Follow-up schreiben!","Warten bis Follow-up-Datum"),IF(D85="Versandbereit","Erstmail senden","Konzept fertigstellen")))))</f>
        <v/>
      </c>
      <c r="K85" s="2" t="n"/>
      <c r="L85" s="2" t="n"/>
    </row>
    <row r="86">
      <c r="A86" s="2" t="n"/>
      <c r="B86" s="2" t="n"/>
      <c r="C86" s="2" t="n"/>
      <c r="D86" s="2" t="n"/>
      <c r="E86" s="3" t="n"/>
      <c r="F86" s="3">
        <f>IF(OR(E86="",G86&lt;&gt;"",H86&lt;&gt;""),"",WORKDAY(E86,5))</f>
        <v/>
      </c>
      <c r="G86" s="3" t="n"/>
      <c r="H86" s="3" t="n"/>
      <c r="I86" s="2" t="n"/>
      <c r="J86" s="2">
        <f>IF(A86="","",IF(I86&lt;&gt;"","Antwort bearbeiten",IF(G86&lt;&gt;"",IF(TODAY()&gt;=WORKDAY(G86,7),"Als Keine Antwort abschließen","Warten auf Antwort"),IF(E86&lt;&gt;"",IF(TODAY()&gt;=F86,"Follow-up schreiben!","Warten bis Follow-up-Datum"),IF(D86="Versandbereit","Erstmail senden","Konzept fertigstellen")))))</f>
        <v/>
      </c>
      <c r="K86" s="2" t="n"/>
      <c r="L86" s="2" t="n"/>
    </row>
    <row r="87">
      <c r="A87" s="2" t="n"/>
      <c r="B87" s="2" t="n"/>
      <c r="C87" s="2" t="n"/>
      <c r="D87" s="2" t="n"/>
      <c r="E87" s="3" t="n"/>
      <c r="F87" s="3">
        <f>IF(OR(E87="",G87&lt;&gt;"",H87&lt;&gt;""),"",WORKDAY(E87,5))</f>
        <v/>
      </c>
      <c r="G87" s="3" t="n"/>
      <c r="H87" s="3" t="n"/>
      <c r="I87" s="2" t="n"/>
      <c r="J87" s="2">
        <f>IF(A87="","",IF(I87&lt;&gt;"","Antwort bearbeiten",IF(G87&lt;&gt;"",IF(TODAY()&gt;=WORKDAY(G87,7),"Als Keine Antwort abschließen","Warten auf Antwort"),IF(E87&lt;&gt;"",IF(TODAY()&gt;=F87,"Follow-up schreiben!","Warten bis Follow-up-Datum"),IF(D87="Versandbereit","Erstmail senden","Konzept fertigstellen")))))</f>
        <v/>
      </c>
      <c r="K87" s="2" t="n"/>
      <c r="L87" s="2" t="n"/>
    </row>
    <row r="88">
      <c r="A88" s="2" t="n"/>
      <c r="B88" s="2" t="n"/>
      <c r="C88" s="2" t="n"/>
      <c r="D88" s="2" t="n"/>
      <c r="E88" s="3" t="n"/>
      <c r="F88" s="3">
        <f>IF(OR(E88="",G88&lt;&gt;"",H88&lt;&gt;""),"",WORKDAY(E88,5))</f>
        <v/>
      </c>
      <c r="G88" s="3" t="n"/>
      <c r="H88" s="3" t="n"/>
      <c r="I88" s="2" t="n"/>
      <c r="J88" s="2">
        <f>IF(A88="","",IF(I88&lt;&gt;"","Antwort bearbeiten",IF(G88&lt;&gt;"",IF(TODAY()&gt;=WORKDAY(G88,7),"Als Keine Antwort abschließen","Warten auf Antwort"),IF(E88&lt;&gt;"",IF(TODAY()&gt;=F88,"Follow-up schreiben!","Warten bis Follow-up-Datum"),IF(D88="Versandbereit","Erstmail senden","Konzept fertigstellen")))))</f>
        <v/>
      </c>
      <c r="K88" s="2" t="n"/>
      <c r="L88" s="2" t="n"/>
    </row>
    <row r="89">
      <c r="A89" s="2" t="n"/>
      <c r="B89" s="2" t="n"/>
      <c r="C89" s="2" t="n"/>
      <c r="D89" s="2" t="n"/>
      <c r="E89" s="3" t="n"/>
      <c r="F89" s="3">
        <f>IF(OR(E89="",G89&lt;&gt;"",H89&lt;&gt;""),"",WORKDAY(E89,5))</f>
        <v/>
      </c>
      <c r="G89" s="3" t="n"/>
      <c r="H89" s="3" t="n"/>
      <c r="I89" s="2" t="n"/>
      <c r="J89" s="2">
        <f>IF(A89="","",IF(I89&lt;&gt;"","Antwort bearbeiten",IF(G89&lt;&gt;"",IF(TODAY()&gt;=WORKDAY(G89,7),"Als Keine Antwort abschließen","Warten auf Antwort"),IF(E89&lt;&gt;"",IF(TODAY()&gt;=F89,"Follow-up schreiben!","Warten bis Follow-up-Datum"),IF(D89="Versandbereit","Erstmail senden","Konzept fertigstellen")))))</f>
        <v/>
      </c>
      <c r="K89" s="2" t="n"/>
      <c r="L89" s="2" t="n"/>
    </row>
    <row r="90">
      <c r="A90" s="2" t="n"/>
      <c r="B90" s="2" t="n"/>
      <c r="C90" s="2" t="n"/>
      <c r="D90" s="2" t="n"/>
      <c r="E90" s="3" t="n"/>
      <c r="F90" s="3">
        <f>IF(OR(E90="",G90&lt;&gt;"",H90&lt;&gt;""),"",WORKDAY(E90,5))</f>
        <v/>
      </c>
      <c r="G90" s="3" t="n"/>
      <c r="H90" s="3" t="n"/>
      <c r="I90" s="2" t="n"/>
      <c r="J90" s="2">
        <f>IF(A90="","",IF(I90&lt;&gt;"","Antwort bearbeiten",IF(G90&lt;&gt;"",IF(TODAY()&gt;=WORKDAY(G90,7),"Als Keine Antwort abschließen","Warten auf Antwort"),IF(E90&lt;&gt;"",IF(TODAY()&gt;=F90,"Follow-up schreiben!","Warten bis Follow-up-Datum"),IF(D90="Versandbereit","Erstmail senden","Konzept fertigstellen")))))</f>
        <v/>
      </c>
      <c r="K90" s="2" t="n"/>
      <c r="L90" s="2" t="n"/>
    </row>
    <row r="91">
      <c r="A91" s="2" t="n"/>
      <c r="B91" s="2" t="n"/>
      <c r="C91" s="2" t="n"/>
      <c r="D91" s="2" t="n"/>
      <c r="E91" s="3" t="n"/>
      <c r="F91" s="3">
        <f>IF(OR(E91="",G91&lt;&gt;"",H91&lt;&gt;""),"",WORKDAY(E91,5))</f>
        <v/>
      </c>
      <c r="G91" s="3" t="n"/>
      <c r="H91" s="3" t="n"/>
      <c r="I91" s="2" t="n"/>
      <c r="J91" s="2">
        <f>IF(A91="","",IF(I91&lt;&gt;"","Antwort bearbeiten",IF(G91&lt;&gt;"",IF(TODAY()&gt;=WORKDAY(G91,7),"Als Keine Antwort abschließen","Warten auf Antwort"),IF(E91&lt;&gt;"",IF(TODAY()&gt;=F91,"Follow-up schreiben!","Warten bis Follow-up-Datum"),IF(D91="Versandbereit","Erstmail senden","Konzept fertigstellen")))))</f>
        <v/>
      </c>
      <c r="K91" s="2" t="n"/>
      <c r="L91" s="2" t="n"/>
    </row>
    <row r="92">
      <c r="A92" s="2" t="n"/>
      <c r="B92" s="2" t="n"/>
      <c r="C92" s="2" t="n"/>
      <c r="D92" s="2" t="n"/>
      <c r="E92" s="3" t="n"/>
      <c r="F92" s="3">
        <f>IF(OR(E92="",G92&lt;&gt;"",H92&lt;&gt;""),"",WORKDAY(E92,5))</f>
        <v/>
      </c>
      <c r="G92" s="3" t="n"/>
      <c r="H92" s="3" t="n"/>
      <c r="I92" s="2" t="n"/>
      <c r="J92" s="2">
        <f>IF(A92="","",IF(I92&lt;&gt;"","Antwort bearbeiten",IF(G92&lt;&gt;"",IF(TODAY()&gt;=WORKDAY(G92,7),"Als Keine Antwort abschließen","Warten auf Antwort"),IF(E92&lt;&gt;"",IF(TODAY()&gt;=F92,"Follow-up schreiben!","Warten bis Follow-up-Datum"),IF(D92="Versandbereit","Erstmail senden","Konzept fertigstellen")))))</f>
        <v/>
      </c>
      <c r="K92" s="2" t="n"/>
      <c r="L92" s="2" t="n"/>
    </row>
    <row r="93">
      <c r="A93" s="2" t="n"/>
      <c r="B93" s="2" t="n"/>
      <c r="C93" s="2" t="n"/>
      <c r="D93" s="2" t="n"/>
      <c r="E93" s="3" t="n"/>
      <c r="F93" s="3">
        <f>IF(OR(E93="",G93&lt;&gt;"",H93&lt;&gt;""),"",WORKDAY(E93,5))</f>
        <v/>
      </c>
      <c r="G93" s="3" t="n"/>
      <c r="H93" s="3" t="n"/>
      <c r="I93" s="2" t="n"/>
      <c r="J93" s="2">
        <f>IF(A93="","",IF(I93&lt;&gt;"","Antwort bearbeiten",IF(G93&lt;&gt;"",IF(TODAY()&gt;=WORKDAY(G93,7),"Als Keine Antwort abschließen","Warten auf Antwort"),IF(E93&lt;&gt;"",IF(TODAY()&gt;=F93,"Follow-up schreiben!","Warten bis Follow-up-Datum"),IF(D93="Versandbereit","Erstmail senden","Konzept fertigstellen")))))</f>
        <v/>
      </c>
      <c r="K93" s="2" t="n"/>
      <c r="L93" s="2" t="n"/>
    </row>
    <row r="94">
      <c r="A94" s="2" t="n"/>
      <c r="B94" s="2" t="n"/>
      <c r="C94" s="2" t="n"/>
      <c r="D94" s="2" t="n"/>
      <c r="E94" s="3" t="n"/>
      <c r="F94" s="3">
        <f>IF(OR(E94="",G94&lt;&gt;"",H94&lt;&gt;""),"",WORKDAY(E94,5))</f>
        <v/>
      </c>
      <c r="G94" s="3" t="n"/>
      <c r="H94" s="3" t="n"/>
      <c r="I94" s="2" t="n"/>
      <c r="J94" s="2">
        <f>IF(A94="","",IF(I94&lt;&gt;"","Antwort bearbeiten",IF(G94&lt;&gt;"",IF(TODAY()&gt;=WORKDAY(G94,7),"Als Keine Antwort abschließen","Warten auf Antwort"),IF(E94&lt;&gt;"",IF(TODAY()&gt;=F94,"Follow-up schreiben!","Warten bis Follow-up-Datum"),IF(D94="Versandbereit","Erstmail senden","Konzept fertigstellen")))))</f>
        <v/>
      </c>
      <c r="K94" s="2" t="n"/>
      <c r="L94" s="2" t="n"/>
    </row>
    <row r="95">
      <c r="A95" s="2" t="n"/>
      <c r="B95" s="2" t="n"/>
      <c r="C95" s="2" t="n"/>
      <c r="D95" s="2" t="n"/>
      <c r="E95" s="3" t="n"/>
      <c r="F95" s="3">
        <f>IF(OR(E95="",G95&lt;&gt;"",H95&lt;&gt;""),"",WORKDAY(E95,5))</f>
        <v/>
      </c>
      <c r="G95" s="3" t="n"/>
      <c r="H95" s="3" t="n"/>
      <c r="I95" s="2" t="n"/>
      <c r="J95" s="2">
        <f>IF(A95="","",IF(I95&lt;&gt;"","Antwort bearbeiten",IF(G95&lt;&gt;"",IF(TODAY()&gt;=WORKDAY(G95,7),"Als Keine Antwort abschließen","Warten auf Antwort"),IF(E95&lt;&gt;"",IF(TODAY()&gt;=F95,"Follow-up schreiben!","Warten bis Follow-up-Datum"),IF(D95="Versandbereit","Erstmail senden","Konzept fertigstellen")))))</f>
        <v/>
      </c>
      <c r="K95" s="2" t="n"/>
      <c r="L95" s="2" t="n"/>
    </row>
    <row r="96">
      <c r="A96" s="2" t="n"/>
      <c r="B96" s="2" t="n"/>
      <c r="C96" s="2" t="n"/>
      <c r="D96" s="2" t="n"/>
      <c r="E96" s="3" t="n"/>
      <c r="F96" s="3">
        <f>IF(OR(E96="",G96&lt;&gt;"",H96&lt;&gt;""),"",WORKDAY(E96,5))</f>
        <v/>
      </c>
      <c r="G96" s="3" t="n"/>
      <c r="H96" s="3" t="n"/>
      <c r="I96" s="2" t="n"/>
      <c r="J96" s="2">
        <f>IF(A96="","",IF(I96&lt;&gt;"","Antwort bearbeiten",IF(G96&lt;&gt;"",IF(TODAY()&gt;=WORKDAY(G96,7),"Als Keine Antwort abschließen","Warten auf Antwort"),IF(E96&lt;&gt;"",IF(TODAY()&gt;=F96,"Follow-up schreiben!","Warten bis Follow-up-Datum"),IF(D96="Versandbereit","Erstmail senden","Konzept fertigstellen")))))</f>
        <v/>
      </c>
      <c r="K96" s="2" t="n"/>
      <c r="L96" s="2" t="n"/>
    </row>
    <row r="97">
      <c r="A97" s="2" t="n"/>
      <c r="B97" s="2" t="n"/>
      <c r="C97" s="2" t="n"/>
      <c r="D97" s="2" t="n"/>
      <c r="E97" s="3" t="n"/>
      <c r="F97" s="3">
        <f>IF(OR(E97="",G97&lt;&gt;"",H97&lt;&gt;""),"",WORKDAY(E97,5))</f>
        <v/>
      </c>
      <c r="G97" s="3" t="n"/>
      <c r="H97" s="3" t="n"/>
      <c r="I97" s="2" t="n"/>
      <c r="J97" s="2">
        <f>IF(A97="","",IF(I97&lt;&gt;"","Antwort bearbeiten",IF(G97&lt;&gt;"",IF(TODAY()&gt;=WORKDAY(G97,7),"Als Keine Antwort abschließen","Warten auf Antwort"),IF(E97&lt;&gt;"",IF(TODAY()&gt;=F97,"Follow-up schreiben!","Warten bis Follow-up-Datum"),IF(D97="Versandbereit","Erstmail senden","Konzept fertigstellen")))))</f>
        <v/>
      </c>
      <c r="K97" s="2" t="n"/>
      <c r="L97" s="2" t="n"/>
    </row>
    <row r="98">
      <c r="A98" s="2" t="n"/>
      <c r="B98" s="2" t="n"/>
      <c r="C98" s="2" t="n"/>
      <c r="D98" s="2" t="n"/>
      <c r="E98" s="3" t="n"/>
      <c r="F98" s="3">
        <f>IF(OR(E98="",G98&lt;&gt;"",H98&lt;&gt;""),"",WORKDAY(E98,5))</f>
        <v/>
      </c>
      <c r="G98" s="3" t="n"/>
      <c r="H98" s="3" t="n"/>
      <c r="I98" s="2" t="n"/>
      <c r="J98" s="2">
        <f>IF(A98="","",IF(I98&lt;&gt;"","Antwort bearbeiten",IF(G98&lt;&gt;"",IF(TODAY()&gt;=WORKDAY(G98,7),"Als Keine Antwort abschließen","Warten auf Antwort"),IF(E98&lt;&gt;"",IF(TODAY()&gt;=F98,"Follow-up schreiben!","Warten bis Follow-up-Datum"),IF(D98="Versandbereit","Erstmail senden","Konzept fertigstellen")))))</f>
        <v/>
      </c>
      <c r="K98" s="2" t="n"/>
      <c r="L98" s="2" t="n"/>
    </row>
    <row r="99">
      <c r="A99" s="2" t="n"/>
      <c r="B99" s="2" t="n"/>
      <c r="C99" s="2" t="n"/>
      <c r="D99" s="2" t="n"/>
      <c r="E99" s="3" t="n"/>
      <c r="F99" s="3">
        <f>IF(OR(E99="",G99&lt;&gt;"",H99&lt;&gt;""),"",WORKDAY(E99,5))</f>
        <v/>
      </c>
      <c r="G99" s="3" t="n"/>
      <c r="H99" s="3" t="n"/>
      <c r="I99" s="2" t="n"/>
      <c r="J99" s="2">
        <f>IF(A99="","",IF(I99&lt;&gt;"","Antwort bearbeiten",IF(G99&lt;&gt;"",IF(TODAY()&gt;=WORKDAY(G99,7),"Als Keine Antwort abschließen","Warten auf Antwort"),IF(E99&lt;&gt;"",IF(TODAY()&gt;=F99,"Follow-up schreiben!","Warten bis Follow-up-Datum"),IF(D99="Versandbereit","Erstmail senden","Konzept fertigstellen")))))</f>
        <v/>
      </c>
      <c r="K99" s="2" t="n"/>
      <c r="L99" s="2" t="n"/>
    </row>
    <row r="100">
      <c r="A100" s="2" t="n"/>
      <c r="B100" s="2" t="n"/>
      <c r="C100" s="2" t="n"/>
      <c r="D100" s="2" t="n"/>
      <c r="E100" s="3" t="n"/>
      <c r="F100" s="3">
        <f>IF(OR(E100="",G100&lt;&gt;"",H100&lt;&gt;""),"",WORKDAY(E100,5))</f>
        <v/>
      </c>
      <c r="G100" s="3" t="n"/>
      <c r="H100" s="3" t="n"/>
      <c r="I100" s="2" t="n"/>
      <c r="J100" s="2">
        <f>IF(A100="","",IF(I100&lt;&gt;"","Antwort bearbeiten",IF(G100&lt;&gt;"",IF(TODAY()&gt;=WORKDAY(G100,7),"Als Keine Antwort abschließen","Warten auf Antwort"),IF(E100&lt;&gt;"",IF(TODAY()&gt;=F100,"Follow-up schreiben!","Warten bis Follow-up-Datum"),IF(D100="Versandbereit","Erstmail senden","Konzept fertigstellen")))))</f>
        <v/>
      </c>
      <c r="K100" s="2" t="n"/>
      <c r="L100" s="2" t="n"/>
    </row>
    <row r="101">
      <c r="A101" s="2" t="n"/>
      <c r="B101" s="2" t="n"/>
      <c r="C101" s="2" t="n"/>
      <c r="D101" s="2" t="n"/>
      <c r="E101" s="3" t="n"/>
      <c r="F101" s="3">
        <f>IF(OR(E101="",G101&lt;&gt;"",H101&lt;&gt;""),"",WORKDAY(E101,5))</f>
        <v/>
      </c>
      <c r="G101" s="3" t="n"/>
      <c r="H101" s="3" t="n"/>
      <c r="I101" s="2" t="n"/>
      <c r="J101" s="2">
        <f>IF(A101="","",IF(I101&lt;&gt;"","Antwort bearbeiten",IF(G101&lt;&gt;"",IF(TODAY()&gt;=WORKDAY(G101,7),"Als Keine Antwort abschließen","Warten auf Antwort"),IF(E101&lt;&gt;"",IF(TODAY()&gt;=F101,"Follow-up schreiben!","Warten bis Follow-up-Datum"),IF(D101="Versandbereit","Erstmail senden","Konzept fertigstellen")))))</f>
        <v/>
      </c>
      <c r="K101" s="2" t="n"/>
      <c r="L101" s="2" t="n"/>
    </row>
    <row r="102">
      <c r="A102" s="2" t="n"/>
      <c r="B102" s="2" t="n"/>
      <c r="C102" s="2" t="n"/>
      <c r="D102" s="2" t="n"/>
      <c r="E102" s="3" t="n"/>
      <c r="F102" s="3">
        <f>IF(OR(E102="",G102&lt;&gt;"",H102&lt;&gt;""),"",WORKDAY(E102,5))</f>
        <v/>
      </c>
      <c r="G102" s="3" t="n"/>
      <c r="H102" s="3" t="n"/>
      <c r="I102" s="2" t="n"/>
      <c r="J102" s="2">
        <f>IF(A102="","",IF(I102&lt;&gt;"","Antwort bearbeiten",IF(G102&lt;&gt;"",IF(TODAY()&gt;=WORKDAY(G102,7),"Als Keine Antwort abschließen","Warten auf Antwort"),IF(E102&lt;&gt;"",IF(TODAY()&gt;=F102,"Follow-up schreiben!","Warten bis Follow-up-Datum"),IF(D102="Versandbereit","Erstmail senden","Konzept fertigstellen")))))</f>
        <v/>
      </c>
      <c r="K102" s="2" t="n"/>
      <c r="L102" s="2" t="n"/>
    </row>
    <row r="103">
      <c r="A103" s="2" t="n"/>
      <c r="B103" s="2" t="n"/>
      <c r="C103" s="2" t="n"/>
      <c r="D103" s="2" t="n"/>
      <c r="E103" s="3" t="n"/>
      <c r="F103" s="3">
        <f>IF(OR(E103="",G103&lt;&gt;"",H103&lt;&gt;""),"",WORKDAY(E103,5))</f>
        <v/>
      </c>
      <c r="G103" s="3" t="n"/>
      <c r="H103" s="3" t="n"/>
      <c r="I103" s="2" t="n"/>
      <c r="J103" s="2">
        <f>IF(A103="","",IF(I103&lt;&gt;"","Antwort bearbeiten",IF(G103&lt;&gt;"",IF(TODAY()&gt;=WORKDAY(G103,7),"Als Keine Antwort abschließen","Warten auf Antwort"),IF(E103&lt;&gt;"",IF(TODAY()&gt;=F103,"Follow-up schreiben!","Warten bis Follow-up-Datum"),IF(D103="Versandbereit","Erstmail senden","Konzept fertigstellen")))))</f>
        <v/>
      </c>
      <c r="K103" s="2" t="n"/>
      <c r="L103" s="2" t="n"/>
    </row>
    <row r="104">
      <c r="A104" s="2" t="n"/>
      <c r="B104" s="2" t="n"/>
      <c r="C104" s="2" t="n"/>
      <c r="D104" s="2" t="n"/>
      <c r="E104" s="3" t="n"/>
      <c r="F104" s="3">
        <f>IF(OR(E104="",G104&lt;&gt;"",H104&lt;&gt;""),"",WORKDAY(E104,5))</f>
        <v/>
      </c>
      <c r="G104" s="3" t="n"/>
      <c r="H104" s="3" t="n"/>
      <c r="I104" s="2" t="n"/>
      <c r="J104" s="2">
        <f>IF(A104="","",IF(I104&lt;&gt;"","Antwort bearbeiten",IF(G104&lt;&gt;"",IF(TODAY()&gt;=WORKDAY(G104,7),"Als Keine Antwort abschließen","Warten auf Antwort"),IF(E104&lt;&gt;"",IF(TODAY()&gt;=F104,"Follow-up schreiben!","Warten bis Follow-up-Datum"),IF(D104="Versandbereit","Erstmail senden","Konzept fertigstellen")))))</f>
        <v/>
      </c>
      <c r="K104" s="2" t="n"/>
      <c r="L104" s="2" t="n"/>
    </row>
    <row r="105">
      <c r="A105" s="2" t="n"/>
      <c r="B105" s="2" t="n"/>
      <c r="C105" s="2" t="n"/>
      <c r="D105" s="2" t="n"/>
      <c r="E105" s="3" t="n"/>
      <c r="F105" s="3">
        <f>IF(OR(E105="",G105&lt;&gt;"",H105&lt;&gt;""),"",WORKDAY(E105,5))</f>
        <v/>
      </c>
      <c r="G105" s="3" t="n"/>
      <c r="H105" s="3" t="n"/>
      <c r="I105" s="2" t="n"/>
      <c r="J105" s="2">
        <f>IF(A105="","",IF(I105&lt;&gt;"","Antwort bearbeiten",IF(G105&lt;&gt;"",IF(TODAY()&gt;=WORKDAY(G105,7),"Als Keine Antwort abschließen","Warten auf Antwort"),IF(E105&lt;&gt;"",IF(TODAY()&gt;=F105,"Follow-up schreiben!","Warten bis Follow-up-Datum"),IF(D105="Versandbereit","Erstmail senden","Konzept fertigstellen")))))</f>
        <v/>
      </c>
      <c r="K105" s="2" t="n"/>
      <c r="L105" s="2" t="n"/>
    </row>
    <row r="106">
      <c r="A106" s="2" t="n"/>
      <c r="B106" s="2" t="n"/>
      <c r="C106" s="2" t="n"/>
      <c r="D106" s="2" t="n"/>
      <c r="E106" s="3" t="n"/>
      <c r="F106" s="3">
        <f>IF(OR(E106="",G106&lt;&gt;"",H106&lt;&gt;""),"",WORKDAY(E106,5))</f>
        <v/>
      </c>
      <c r="G106" s="3" t="n"/>
      <c r="H106" s="3" t="n"/>
      <c r="I106" s="2" t="n"/>
      <c r="J106" s="2">
        <f>IF(A106="","",IF(I106&lt;&gt;"","Antwort bearbeiten",IF(G106&lt;&gt;"",IF(TODAY()&gt;=WORKDAY(G106,7),"Als Keine Antwort abschließen","Warten auf Antwort"),IF(E106&lt;&gt;"",IF(TODAY()&gt;=F106,"Follow-up schreiben!","Warten bis Follow-up-Datum"),IF(D106="Versandbereit","Erstmail senden","Konzept fertigstellen")))))</f>
        <v/>
      </c>
      <c r="K106" s="2" t="n"/>
      <c r="L106" s="2" t="n"/>
    </row>
    <row r="107">
      <c r="A107" s="2" t="n"/>
      <c r="B107" s="2" t="n"/>
      <c r="C107" s="2" t="n"/>
      <c r="D107" s="2" t="n"/>
      <c r="E107" s="3" t="n"/>
      <c r="F107" s="3">
        <f>IF(OR(E107="",G107&lt;&gt;"",H107&lt;&gt;""),"",WORKDAY(E107,5))</f>
        <v/>
      </c>
      <c r="G107" s="3" t="n"/>
      <c r="H107" s="3" t="n"/>
      <c r="I107" s="2" t="n"/>
      <c r="J107" s="2">
        <f>IF(A107="","",IF(I107&lt;&gt;"","Antwort bearbeiten",IF(G107&lt;&gt;"",IF(TODAY()&gt;=WORKDAY(G107,7),"Als Keine Antwort abschließen","Warten auf Antwort"),IF(E107&lt;&gt;"",IF(TODAY()&gt;=F107,"Follow-up schreiben!","Warten bis Follow-up-Datum"),IF(D107="Versandbereit","Erstmail senden","Konzept fertigstellen")))))</f>
        <v/>
      </c>
      <c r="K107" s="2" t="n"/>
      <c r="L107" s="2" t="n"/>
    </row>
    <row r="108">
      <c r="A108" s="2" t="n"/>
      <c r="B108" s="2" t="n"/>
      <c r="C108" s="2" t="n"/>
      <c r="D108" s="2" t="n"/>
      <c r="E108" s="3" t="n"/>
      <c r="F108" s="3">
        <f>IF(OR(E108="",G108&lt;&gt;"",H108&lt;&gt;""),"",WORKDAY(E108,5))</f>
        <v/>
      </c>
      <c r="G108" s="3" t="n"/>
      <c r="H108" s="3" t="n"/>
      <c r="I108" s="2" t="n"/>
      <c r="J108" s="2">
        <f>IF(A108="","",IF(I108&lt;&gt;"","Antwort bearbeiten",IF(G108&lt;&gt;"",IF(TODAY()&gt;=WORKDAY(G108,7),"Als Keine Antwort abschließen","Warten auf Antwort"),IF(E108&lt;&gt;"",IF(TODAY()&gt;=F108,"Follow-up schreiben!","Warten bis Follow-up-Datum"),IF(D108="Versandbereit","Erstmail senden","Konzept fertigstellen")))))</f>
        <v/>
      </c>
      <c r="K108" s="2" t="n"/>
      <c r="L108" s="2" t="n"/>
    </row>
    <row r="109">
      <c r="A109" s="2" t="n"/>
      <c r="B109" s="2" t="n"/>
      <c r="C109" s="2" t="n"/>
      <c r="D109" s="2" t="n"/>
      <c r="E109" s="3" t="n"/>
      <c r="F109" s="3">
        <f>IF(OR(E109="",G109&lt;&gt;"",H109&lt;&gt;""),"",WORKDAY(E109,5))</f>
        <v/>
      </c>
      <c r="G109" s="3" t="n"/>
      <c r="H109" s="3" t="n"/>
      <c r="I109" s="2" t="n"/>
      <c r="J109" s="2">
        <f>IF(A109="","",IF(I109&lt;&gt;"","Antwort bearbeiten",IF(G109&lt;&gt;"",IF(TODAY()&gt;=WORKDAY(G109,7),"Als Keine Antwort abschließen","Warten auf Antwort"),IF(E109&lt;&gt;"",IF(TODAY()&gt;=F109,"Follow-up schreiben!","Warten bis Follow-up-Datum"),IF(D109="Versandbereit","Erstmail senden","Konzept fertigstellen")))))</f>
        <v/>
      </c>
      <c r="K109" s="2" t="n"/>
      <c r="L109" s="2" t="n"/>
    </row>
    <row r="110">
      <c r="A110" s="2" t="n"/>
      <c r="B110" s="2" t="n"/>
      <c r="C110" s="2" t="n"/>
      <c r="D110" s="2" t="n"/>
      <c r="E110" s="3" t="n"/>
      <c r="F110" s="3">
        <f>IF(OR(E110="",G110&lt;&gt;"",H110&lt;&gt;""),"",WORKDAY(E110,5))</f>
        <v/>
      </c>
      <c r="G110" s="3" t="n"/>
      <c r="H110" s="3" t="n"/>
      <c r="I110" s="2" t="n"/>
      <c r="J110" s="2">
        <f>IF(A110="","",IF(I110&lt;&gt;"","Antwort bearbeiten",IF(G110&lt;&gt;"",IF(TODAY()&gt;=WORKDAY(G110,7),"Als Keine Antwort abschließen","Warten auf Antwort"),IF(E110&lt;&gt;"",IF(TODAY()&gt;=F110,"Follow-up schreiben!","Warten bis Follow-up-Datum"),IF(D110="Versandbereit","Erstmail senden","Konzept fertigstellen")))))</f>
        <v/>
      </c>
      <c r="K110" s="2" t="n"/>
      <c r="L110" s="2" t="n"/>
    </row>
    <row r="111">
      <c r="A111" s="2" t="n"/>
      <c r="B111" s="2" t="n"/>
      <c r="C111" s="2" t="n"/>
      <c r="D111" s="2" t="n"/>
      <c r="E111" s="3" t="n"/>
      <c r="F111" s="3">
        <f>IF(OR(E111="",G111&lt;&gt;"",H111&lt;&gt;""),"",WORKDAY(E111,5))</f>
        <v/>
      </c>
      <c r="G111" s="3" t="n"/>
      <c r="H111" s="3" t="n"/>
      <c r="I111" s="2" t="n"/>
      <c r="J111" s="2">
        <f>IF(A111="","",IF(I111&lt;&gt;"","Antwort bearbeiten",IF(G111&lt;&gt;"",IF(TODAY()&gt;=WORKDAY(G111,7),"Als Keine Antwort abschließen","Warten auf Antwort"),IF(E111&lt;&gt;"",IF(TODAY()&gt;=F111,"Follow-up schreiben!","Warten bis Follow-up-Datum"),IF(D111="Versandbereit","Erstmail senden","Konzept fertigstellen")))))</f>
        <v/>
      </c>
      <c r="K111" s="2" t="n"/>
      <c r="L111" s="2" t="n"/>
    </row>
    <row r="112">
      <c r="A112" s="2" t="n"/>
      <c r="B112" s="2" t="n"/>
      <c r="C112" s="2" t="n"/>
      <c r="D112" s="2" t="n"/>
      <c r="E112" s="3" t="n"/>
      <c r="F112" s="3">
        <f>IF(OR(E112="",G112&lt;&gt;"",H112&lt;&gt;""),"",WORKDAY(E112,5))</f>
        <v/>
      </c>
      <c r="G112" s="3" t="n"/>
      <c r="H112" s="3" t="n"/>
      <c r="I112" s="2" t="n"/>
      <c r="J112" s="2">
        <f>IF(A112="","",IF(I112&lt;&gt;"","Antwort bearbeiten",IF(G112&lt;&gt;"",IF(TODAY()&gt;=WORKDAY(G112,7),"Als Keine Antwort abschließen","Warten auf Antwort"),IF(E112&lt;&gt;"",IF(TODAY()&gt;=F112,"Follow-up schreiben!","Warten bis Follow-up-Datum"),IF(D112="Versandbereit","Erstmail senden","Konzept fertigstellen")))))</f>
        <v/>
      </c>
      <c r="K112" s="2" t="n"/>
      <c r="L112" s="2" t="n"/>
    </row>
    <row r="113">
      <c r="A113" s="2" t="n"/>
      <c r="B113" s="2" t="n"/>
      <c r="C113" s="2" t="n"/>
      <c r="D113" s="2" t="n"/>
      <c r="E113" s="3" t="n"/>
      <c r="F113" s="3">
        <f>IF(OR(E113="",G113&lt;&gt;"",H113&lt;&gt;""),"",WORKDAY(E113,5))</f>
        <v/>
      </c>
      <c r="G113" s="3" t="n"/>
      <c r="H113" s="3" t="n"/>
      <c r="I113" s="2" t="n"/>
      <c r="J113" s="2">
        <f>IF(A113="","",IF(I113&lt;&gt;"","Antwort bearbeiten",IF(G113&lt;&gt;"",IF(TODAY()&gt;=WORKDAY(G113,7),"Als Keine Antwort abschließen","Warten auf Antwort"),IF(E113&lt;&gt;"",IF(TODAY()&gt;=F113,"Follow-up schreiben!","Warten bis Follow-up-Datum"),IF(D113="Versandbereit","Erstmail senden","Konzept fertigstellen")))))</f>
        <v/>
      </c>
      <c r="K113" s="2" t="n"/>
      <c r="L113" s="2" t="n"/>
    </row>
    <row r="114">
      <c r="A114" s="2" t="n"/>
      <c r="B114" s="2" t="n"/>
      <c r="C114" s="2" t="n"/>
      <c r="D114" s="2" t="n"/>
      <c r="E114" s="3" t="n"/>
      <c r="F114" s="3">
        <f>IF(OR(E114="",G114&lt;&gt;"",H114&lt;&gt;""),"",WORKDAY(E114,5))</f>
        <v/>
      </c>
      <c r="G114" s="3" t="n"/>
      <c r="H114" s="3" t="n"/>
      <c r="I114" s="2" t="n"/>
      <c r="J114" s="2">
        <f>IF(A114="","",IF(I114&lt;&gt;"","Antwort bearbeiten",IF(G114&lt;&gt;"",IF(TODAY()&gt;=WORKDAY(G114,7),"Als Keine Antwort abschließen","Warten auf Antwort"),IF(E114&lt;&gt;"",IF(TODAY()&gt;=F114,"Follow-up schreiben!","Warten bis Follow-up-Datum"),IF(D114="Versandbereit","Erstmail senden","Konzept fertigstellen")))))</f>
        <v/>
      </c>
      <c r="K114" s="2" t="n"/>
      <c r="L114" s="2" t="n"/>
    </row>
    <row r="115">
      <c r="A115" s="2" t="n"/>
      <c r="B115" s="2" t="n"/>
      <c r="C115" s="2" t="n"/>
      <c r="D115" s="2" t="n"/>
      <c r="E115" s="3" t="n"/>
      <c r="F115" s="3">
        <f>IF(OR(E115="",G115&lt;&gt;"",H115&lt;&gt;""),"",WORKDAY(E115,5))</f>
        <v/>
      </c>
      <c r="G115" s="3" t="n"/>
      <c r="H115" s="3" t="n"/>
      <c r="I115" s="2" t="n"/>
      <c r="J115" s="2">
        <f>IF(A115="","",IF(I115&lt;&gt;"","Antwort bearbeiten",IF(G115&lt;&gt;"",IF(TODAY()&gt;=WORKDAY(G115,7),"Als Keine Antwort abschließen","Warten auf Antwort"),IF(E115&lt;&gt;"",IF(TODAY()&gt;=F115,"Follow-up schreiben!","Warten bis Follow-up-Datum"),IF(D115="Versandbereit","Erstmail senden","Konzept fertigstellen")))))</f>
        <v/>
      </c>
      <c r="K115" s="2" t="n"/>
      <c r="L115" s="2" t="n"/>
    </row>
    <row r="116">
      <c r="A116" s="2" t="n"/>
      <c r="B116" s="2" t="n"/>
      <c r="C116" s="2" t="n"/>
      <c r="D116" s="2" t="n"/>
      <c r="E116" s="3" t="n"/>
      <c r="F116" s="3">
        <f>IF(OR(E116="",G116&lt;&gt;"",H116&lt;&gt;""),"",WORKDAY(E116,5))</f>
        <v/>
      </c>
      <c r="G116" s="3" t="n"/>
      <c r="H116" s="3" t="n"/>
      <c r="I116" s="2" t="n"/>
      <c r="J116" s="2">
        <f>IF(A116="","",IF(I116&lt;&gt;"","Antwort bearbeiten",IF(G116&lt;&gt;"",IF(TODAY()&gt;=WORKDAY(G116,7),"Als Keine Antwort abschließen","Warten auf Antwort"),IF(E116&lt;&gt;"",IF(TODAY()&gt;=F116,"Follow-up schreiben!","Warten bis Follow-up-Datum"),IF(D116="Versandbereit","Erstmail senden","Konzept fertigstellen")))))</f>
        <v/>
      </c>
      <c r="K116" s="2" t="n"/>
      <c r="L116" s="2" t="n"/>
    </row>
    <row r="117">
      <c r="A117" s="2" t="n"/>
      <c r="B117" s="2" t="n"/>
      <c r="C117" s="2" t="n"/>
      <c r="D117" s="2" t="n"/>
      <c r="E117" s="3" t="n"/>
      <c r="F117" s="3">
        <f>IF(OR(E117="",G117&lt;&gt;"",H117&lt;&gt;""),"",WORKDAY(E117,5))</f>
        <v/>
      </c>
      <c r="G117" s="3" t="n"/>
      <c r="H117" s="3" t="n"/>
      <c r="I117" s="2" t="n"/>
      <c r="J117" s="2">
        <f>IF(A117="","",IF(I117&lt;&gt;"","Antwort bearbeiten",IF(G117&lt;&gt;"",IF(TODAY()&gt;=WORKDAY(G117,7),"Als Keine Antwort abschließen","Warten auf Antwort"),IF(E117&lt;&gt;"",IF(TODAY()&gt;=F117,"Follow-up schreiben!","Warten bis Follow-up-Datum"),IF(D117="Versandbereit","Erstmail senden","Konzept fertigstellen")))))</f>
        <v/>
      </c>
      <c r="K117" s="2" t="n"/>
      <c r="L117" s="2" t="n"/>
    </row>
    <row r="118">
      <c r="A118" s="2" t="n"/>
      <c r="B118" s="2" t="n"/>
      <c r="C118" s="2" t="n"/>
      <c r="D118" s="2" t="n"/>
      <c r="E118" s="3" t="n"/>
      <c r="F118" s="3">
        <f>IF(OR(E118="",G118&lt;&gt;"",H118&lt;&gt;""),"",WORKDAY(E118,5))</f>
        <v/>
      </c>
      <c r="G118" s="3" t="n"/>
      <c r="H118" s="3" t="n"/>
      <c r="I118" s="2" t="n"/>
      <c r="J118" s="2">
        <f>IF(A118="","",IF(I118&lt;&gt;"","Antwort bearbeiten",IF(G118&lt;&gt;"",IF(TODAY()&gt;=WORKDAY(G118,7),"Als Keine Antwort abschließen","Warten auf Antwort"),IF(E118&lt;&gt;"",IF(TODAY()&gt;=F118,"Follow-up schreiben!","Warten bis Follow-up-Datum"),IF(D118="Versandbereit","Erstmail senden","Konzept fertigstellen")))))</f>
        <v/>
      </c>
      <c r="K118" s="2" t="n"/>
      <c r="L118" s="2" t="n"/>
    </row>
    <row r="119">
      <c r="A119" s="2" t="n"/>
      <c r="B119" s="2" t="n"/>
      <c r="C119" s="2" t="n"/>
      <c r="D119" s="2" t="n"/>
      <c r="E119" s="3" t="n"/>
      <c r="F119" s="3">
        <f>IF(OR(E119="",G119&lt;&gt;"",H119&lt;&gt;""),"",WORKDAY(E119,5))</f>
        <v/>
      </c>
      <c r="G119" s="3" t="n"/>
      <c r="H119" s="3" t="n"/>
      <c r="I119" s="2" t="n"/>
      <c r="J119" s="2">
        <f>IF(A119="","",IF(I119&lt;&gt;"","Antwort bearbeiten",IF(G119&lt;&gt;"",IF(TODAY()&gt;=WORKDAY(G119,7),"Als Keine Antwort abschließen","Warten auf Antwort"),IF(E119&lt;&gt;"",IF(TODAY()&gt;=F119,"Follow-up schreiben!","Warten bis Follow-up-Datum"),IF(D119="Versandbereit","Erstmail senden","Konzept fertigstellen")))))</f>
        <v/>
      </c>
      <c r="K119" s="2" t="n"/>
      <c r="L119" s="2" t="n"/>
    </row>
    <row r="120">
      <c r="A120" s="2" t="n"/>
      <c r="B120" s="2" t="n"/>
      <c r="C120" s="2" t="n"/>
      <c r="D120" s="2" t="n"/>
      <c r="E120" s="3" t="n"/>
      <c r="F120" s="3">
        <f>IF(OR(E120="",G120&lt;&gt;"",H120&lt;&gt;""),"",WORKDAY(E120,5))</f>
        <v/>
      </c>
      <c r="G120" s="3" t="n"/>
      <c r="H120" s="3" t="n"/>
      <c r="I120" s="2" t="n"/>
      <c r="J120" s="2">
        <f>IF(A120="","",IF(I120&lt;&gt;"","Antwort bearbeiten",IF(G120&lt;&gt;"",IF(TODAY()&gt;=WORKDAY(G120,7),"Als Keine Antwort abschließen","Warten auf Antwort"),IF(E120&lt;&gt;"",IF(TODAY()&gt;=F120,"Follow-up schreiben!","Warten bis Follow-up-Datum"),IF(D120="Versandbereit","Erstmail senden","Konzept fertigstellen")))))</f>
        <v/>
      </c>
      <c r="K120" s="2" t="n"/>
      <c r="L120" s="2" t="n"/>
    </row>
    <row r="121">
      <c r="A121" s="2" t="n"/>
      <c r="B121" s="2" t="n"/>
      <c r="C121" s="2" t="n"/>
      <c r="D121" s="2" t="n"/>
      <c r="E121" s="3" t="n"/>
      <c r="F121" s="3">
        <f>IF(OR(E121="",G121&lt;&gt;"",H121&lt;&gt;""),"",WORKDAY(E121,5))</f>
        <v/>
      </c>
      <c r="G121" s="3" t="n"/>
      <c r="H121" s="3" t="n"/>
      <c r="I121" s="2" t="n"/>
      <c r="J121" s="2">
        <f>IF(A121="","",IF(I121&lt;&gt;"","Antwort bearbeiten",IF(G121&lt;&gt;"",IF(TODAY()&gt;=WORKDAY(G121,7),"Als Keine Antwort abschließen","Warten auf Antwort"),IF(E121&lt;&gt;"",IF(TODAY()&gt;=F121,"Follow-up schreiben!","Warten bis Follow-up-Datum"),IF(D121="Versandbereit","Erstmail senden","Konzept fertigstellen")))))</f>
        <v/>
      </c>
      <c r="K121" s="2" t="n"/>
      <c r="L121" s="2" t="n"/>
    </row>
    <row r="122">
      <c r="A122" s="2" t="n"/>
      <c r="B122" s="2" t="n"/>
      <c r="C122" s="2" t="n"/>
      <c r="D122" s="2" t="n"/>
      <c r="E122" s="3" t="n"/>
      <c r="F122" s="3">
        <f>IF(OR(E122="",G122&lt;&gt;"",H122&lt;&gt;""),"",WORKDAY(E122,5))</f>
        <v/>
      </c>
      <c r="G122" s="3" t="n"/>
      <c r="H122" s="3" t="n"/>
      <c r="I122" s="2" t="n"/>
      <c r="J122" s="2">
        <f>IF(A122="","",IF(I122&lt;&gt;"","Antwort bearbeiten",IF(G122&lt;&gt;"",IF(TODAY()&gt;=WORKDAY(G122,7),"Als Keine Antwort abschließen","Warten auf Antwort"),IF(E122&lt;&gt;"",IF(TODAY()&gt;=F122,"Follow-up schreiben!","Warten bis Follow-up-Datum"),IF(D122="Versandbereit","Erstmail senden","Konzept fertigstellen")))))</f>
        <v/>
      </c>
      <c r="K122" s="2" t="n"/>
      <c r="L122" s="2" t="n"/>
    </row>
    <row r="123">
      <c r="A123" s="2" t="n"/>
      <c r="B123" s="2" t="n"/>
      <c r="C123" s="2" t="n"/>
      <c r="D123" s="2" t="n"/>
      <c r="E123" s="3" t="n"/>
      <c r="F123" s="3">
        <f>IF(OR(E123="",G123&lt;&gt;"",H123&lt;&gt;""),"",WORKDAY(E123,5))</f>
        <v/>
      </c>
      <c r="G123" s="3" t="n"/>
      <c r="H123" s="3" t="n"/>
      <c r="I123" s="2" t="n"/>
      <c r="J123" s="2">
        <f>IF(A123="","",IF(I123&lt;&gt;"","Antwort bearbeiten",IF(G123&lt;&gt;"",IF(TODAY()&gt;=WORKDAY(G123,7),"Als Keine Antwort abschließen","Warten auf Antwort"),IF(E123&lt;&gt;"",IF(TODAY()&gt;=F123,"Follow-up schreiben!","Warten bis Follow-up-Datum"),IF(D123="Versandbereit","Erstmail senden","Konzept fertigstellen")))))</f>
        <v/>
      </c>
      <c r="K123" s="2" t="n"/>
      <c r="L123" s="2" t="n"/>
    </row>
    <row r="124">
      <c r="A124" s="2" t="n"/>
      <c r="B124" s="2" t="n"/>
      <c r="C124" s="2" t="n"/>
      <c r="D124" s="2" t="n"/>
      <c r="E124" s="3" t="n"/>
      <c r="F124" s="3">
        <f>IF(OR(E124="",G124&lt;&gt;"",H124&lt;&gt;""),"",WORKDAY(E124,5))</f>
        <v/>
      </c>
      <c r="G124" s="3" t="n"/>
      <c r="H124" s="3" t="n"/>
      <c r="I124" s="2" t="n"/>
      <c r="J124" s="2">
        <f>IF(A124="","",IF(I124&lt;&gt;"","Antwort bearbeiten",IF(G124&lt;&gt;"",IF(TODAY()&gt;=WORKDAY(G124,7),"Als Keine Antwort abschließen","Warten auf Antwort"),IF(E124&lt;&gt;"",IF(TODAY()&gt;=F124,"Follow-up schreiben!","Warten bis Follow-up-Datum"),IF(D124="Versandbereit","Erstmail senden","Konzept fertigstellen")))))</f>
        <v/>
      </c>
      <c r="K124" s="2" t="n"/>
      <c r="L124" s="2" t="n"/>
    </row>
    <row r="125">
      <c r="A125" s="2" t="n"/>
      <c r="B125" s="2" t="n"/>
      <c r="C125" s="2" t="n"/>
      <c r="D125" s="2" t="n"/>
      <c r="E125" s="3" t="n"/>
      <c r="F125" s="3">
        <f>IF(OR(E125="",G125&lt;&gt;"",H125&lt;&gt;""),"",WORKDAY(E125,5))</f>
        <v/>
      </c>
      <c r="G125" s="3" t="n"/>
      <c r="H125" s="3" t="n"/>
      <c r="I125" s="2" t="n"/>
      <c r="J125" s="2">
        <f>IF(A125="","",IF(I125&lt;&gt;"","Antwort bearbeiten",IF(G125&lt;&gt;"",IF(TODAY()&gt;=WORKDAY(G125,7),"Als Keine Antwort abschließen","Warten auf Antwort"),IF(E125&lt;&gt;"",IF(TODAY()&gt;=F125,"Follow-up schreiben!","Warten bis Follow-up-Datum"),IF(D125="Versandbereit","Erstmail senden","Konzept fertigstellen")))))</f>
        <v/>
      </c>
      <c r="K125" s="2" t="n"/>
      <c r="L125" s="2" t="n"/>
    </row>
    <row r="126">
      <c r="A126" s="2" t="n"/>
      <c r="B126" s="2" t="n"/>
      <c r="C126" s="2" t="n"/>
      <c r="D126" s="2" t="n"/>
      <c r="E126" s="3" t="n"/>
      <c r="F126" s="3">
        <f>IF(OR(E126="",G126&lt;&gt;"",H126&lt;&gt;""),"",WORKDAY(E126,5))</f>
        <v/>
      </c>
      <c r="G126" s="3" t="n"/>
      <c r="H126" s="3" t="n"/>
      <c r="I126" s="2" t="n"/>
      <c r="J126" s="2">
        <f>IF(A126="","",IF(I126&lt;&gt;"","Antwort bearbeiten",IF(G126&lt;&gt;"",IF(TODAY()&gt;=WORKDAY(G126,7),"Als Keine Antwort abschließen","Warten auf Antwort"),IF(E126&lt;&gt;"",IF(TODAY()&gt;=F126,"Follow-up schreiben!","Warten bis Follow-up-Datum"),IF(D126="Versandbereit","Erstmail senden","Konzept fertigstellen")))))</f>
        <v/>
      </c>
      <c r="K126" s="2" t="n"/>
      <c r="L126" s="2" t="n"/>
    </row>
    <row r="127">
      <c r="A127" s="2" t="n"/>
      <c r="B127" s="2" t="n"/>
      <c r="C127" s="2" t="n"/>
      <c r="D127" s="2" t="n"/>
      <c r="E127" s="3" t="n"/>
      <c r="F127" s="3">
        <f>IF(OR(E127="",G127&lt;&gt;"",H127&lt;&gt;""),"",WORKDAY(E127,5))</f>
        <v/>
      </c>
      <c r="G127" s="3" t="n"/>
      <c r="H127" s="3" t="n"/>
      <c r="I127" s="2" t="n"/>
      <c r="J127" s="2">
        <f>IF(A127="","",IF(I127&lt;&gt;"","Antwort bearbeiten",IF(G127&lt;&gt;"",IF(TODAY()&gt;=WORKDAY(G127,7),"Als Keine Antwort abschließen","Warten auf Antwort"),IF(E127&lt;&gt;"",IF(TODAY()&gt;=F127,"Follow-up schreiben!","Warten bis Follow-up-Datum"),IF(D127="Versandbereit","Erstmail senden","Konzept fertigstellen")))))</f>
        <v/>
      </c>
      <c r="K127" s="2" t="n"/>
      <c r="L127" s="2" t="n"/>
    </row>
    <row r="128">
      <c r="A128" s="2" t="n"/>
      <c r="B128" s="2" t="n"/>
      <c r="C128" s="2" t="n"/>
      <c r="D128" s="2" t="n"/>
      <c r="E128" s="3" t="n"/>
      <c r="F128" s="3">
        <f>IF(OR(E128="",G128&lt;&gt;"",H128&lt;&gt;""),"",WORKDAY(E128,5))</f>
        <v/>
      </c>
      <c r="G128" s="3" t="n"/>
      <c r="H128" s="3" t="n"/>
      <c r="I128" s="2" t="n"/>
      <c r="J128" s="2">
        <f>IF(A128="","",IF(I128&lt;&gt;"","Antwort bearbeiten",IF(G128&lt;&gt;"",IF(TODAY()&gt;=WORKDAY(G128,7),"Als Keine Antwort abschließen","Warten auf Antwort"),IF(E128&lt;&gt;"",IF(TODAY()&gt;=F128,"Follow-up schreiben!","Warten bis Follow-up-Datum"),IF(D128="Versandbereit","Erstmail senden","Konzept fertigstellen")))))</f>
        <v/>
      </c>
      <c r="K128" s="2" t="n"/>
      <c r="L128" s="2" t="n"/>
    </row>
    <row r="129">
      <c r="A129" s="2" t="n"/>
      <c r="B129" s="2" t="n"/>
      <c r="C129" s="2" t="n"/>
      <c r="D129" s="2" t="n"/>
      <c r="E129" s="3" t="n"/>
      <c r="F129" s="3">
        <f>IF(OR(E129="",G129&lt;&gt;"",H129&lt;&gt;""),"",WORKDAY(E129,5))</f>
        <v/>
      </c>
      <c r="G129" s="3" t="n"/>
      <c r="H129" s="3" t="n"/>
      <c r="I129" s="2" t="n"/>
      <c r="J129" s="2">
        <f>IF(A129="","",IF(I129&lt;&gt;"","Antwort bearbeiten",IF(G129&lt;&gt;"",IF(TODAY()&gt;=WORKDAY(G129,7),"Als Keine Antwort abschließen","Warten auf Antwort"),IF(E129&lt;&gt;"",IF(TODAY()&gt;=F129,"Follow-up schreiben!","Warten bis Follow-up-Datum"),IF(D129="Versandbereit","Erstmail senden","Konzept fertigstellen")))))</f>
        <v/>
      </c>
      <c r="K129" s="2" t="n"/>
      <c r="L129" s="2" t="n"/>
    </row>
    <row r="130">
      <c r="A130" s="2" t="n"/>
      <c r="B130" s="2" t="n"/>
      <c r="C130" s="2" t="n"/>
      <c r="D130" s="2" t="n"/>
      <c r="E130" s="3" t="n"/>
      <c r="F130" s="3">
        <f>IF(OR(E130="",G130&lt;&gt;"",H130&lt;&gt;""),"",WORKDAY(E130,5))</f>
        <v/>
      </c>
      <c r="G130" s="3" t="n"/>
      <c r="H130" s="3" t="n"/>
      <c r="I130" s="2" t="n"/>
      <c r="J130" s="2">
        <f>IF(A130="","",IF(I130&lt;&gt;"","Antwort bearbeiten",IF(G130&lt;&gt;"",IF(TODAY()&gt;=WORKDAY(G130,7),"Als Keine Antwort abschließen","Warten auf Antwort"),IF(E130&lt;&gt;"",IF(TODAY()&gt;=F130,"Follow-up schreiben!","Warten bis Follow-up-Datum"),IF(D130="Versandbereit","Erstmail senden","Konzept fertigstellen")))))</f>
        <v/>
      </c>
      <c r="K130" s="2" t="n"/>
      <c r="L130" s="2" t="n"/>
    </row>
    <row r="131">
      <c r="A131" s="2" t="n"/>
      <c r="B131" s="2" t="n"/>
      <c r="C131" s="2" t="n"/>
      <c r="D131" s="2" t="n"/>
      <c r="E131" s="3" t="n"/>
      <c r="F131" s="3">
        <f>IF(OR(E131="",G131&lt;&gt;"",H131&lt;&gt;""),"",WORKDAY(E131,5))</f>
        <v/>
      </c>
      <c r="G131" s="3" t="n"/>
      <c r="H131" s="3" t="n"/>
      <c r="I131" s="2" t="n"/>
      <c r="J131" s="2">
        <f>IF(A131="","",IF(I131&lt;&gt;"","Antwort bearbeiten",IF(G131&lt;&gt;"",IF(TODAY()&gt;=WORKDAY(G131,7),"Als Keine Antwort abschließen","Warten auf Antwort"),IF(E131&lt;&gt;"",IF(TODAY()&gt;=F131,"Follow-up schreiben!","Warten bis Follow-up-Datum"),IF(D131="Versandbereit","Erstmail senden","Konzept fertigstellen")))))</f>
        <v/>
      </c>
      <c r="K131" s="2" t="n"/>
      <c r="L131" s="2" t="n"/>
    </row>
    <row r="132">
      <c r="A132" s="2" t="n"/>
      <c r="B132" s="2" t="n"/>
      <c r="C132" s="2" t="n"/>
      <c r="D132" s="2" t="n"/>
      <c r="E132" s="3" t="n"/>
      <c r="F132" s="3">
        <f>IF(OR(E132="",G132&lt;&gt;"",H132&lt;&gt;""),"",WORKDAY(E132,5))</f>
        <v/>
      </c>
      <c r="G132" s="3" t="n"/>
      <c r="H132" s="3" t="n"/>
      <c r="I132" s="2" t="n"/>
      <c r="J132" s="2">
        <f>IF(A132="","",IF(I132&lt;&gt;"","Antwort bearbeiten",IF(G132&lt;&gt;"",IF(TODAY()&gt;=WORKDAY(G132,7),"Als Keine Antwort abschließen","Warten auf Antwort"),IF(E132&lt;&gt;"",IF(TODAY()&gt;=F132,"Follow-up schreiben!","Warten bis Follow-up-Datum"),IF(D132="Versandbereit","Erstmail senden","Konzept fertigstellen")))))</f>
        <v/>
      </c>
      <c r="K132" s="2" t="n"/>
      <c r="L132" s="2" t="n"/>
    </row>
    <row r="133">
      <c r="A133" s="2" t="n"/>
      <c r="B133" s="2" t="n"/>
      <c r="C133" s="2" t="n"/>
      <c r="D133" s="2" t="n"/>
      <c r="E133" s="3" t="n"/>
      <c r="F133" s="3">
        <f>IF(OR(E133="",G133&lt;&gt;"",H133&lt;&gt;""),"",WORKDAY(E133,5))</f>
        <v/>
      </c>
      <c r="G133" s="3" t="n"/>
      <c r="H133" s="3" t="n"/>
      <c r="I133" s="2" t="n"/>
      <c r="J133" s="2">
        <f>IF(A133="","",IF(I133&lt;&gt;"","Antwort bearbeiten",IF(G133&lt;&gt;"",IF(TODAY()&gt;=WORKDAY(G133,7),"Als Keine Antwort abschließen","Warten auf Antwort"),IF(E133&lt;&gt;"",IF(TODAY()&gt;=F133,"Follow-up schreiben!","Warten bis Follow-up-Datum"),IF(D133="Versandbereit","Erstmail senden","Konzept fertigstellen")))))</f>
        <v/>
      </c>
      <c r="K133" s="2" t="n"/>
      <c r="L133" s="2" t="n"/>
    </row>
    <row r="134">
      <c r="A134" s="2" t="n"/>
      <c r="B134" s="2" t="n"/>
      <c r="C134" s="2" t="n"/>
      <c r="D134" s="2" t="n"/>
      <c r="E134" s="3" t="n"/>
      <c r="F134" s="3">
        <f>IF(OR(E134="",G134&lt;&gt;"",H134&lt;&gt;""),"",WORKDAY(E134,5))</f>
        <v/>
      </c>
      <c r="G134" s="3" t="n"/>
      <c r="H134" s="3" t="n"/>
      <c r="I134" s="2" t="n"/>
      <c r="J134" s="2">
        <f>IF(A134="","",IF(I134&lt;&gt;"","Antwort bearbeiten",IF(G134&lt;&gt;"",IF(TODAY()&gt;=WORKDAY(G134,7),"Als Keine Antwort abschließen","Warten auf Antwort"),IF(E134&lt;&gt;"",IF(TODAY()&gt;=F134,"Follow-up schreiben!","Warten bis Follow-up-Datum"),IF(D134="Versandbereit","Erstmail senden","Konzept fertigstellen")))))</f>
        <v/>
      </c>
      <c r="K134" s="2" t="n"/>
      <c r="L134" s="2" t="n"/>
    </row>
    <row r="135">
      <c r="A135" s="2" t="n"/>
      <c r="B135" s="2" t="n"/>
      <c r="C135" s="2" t="n"/>
      <c r="D135" s="2" t="n"/>
      <c r="E135" s="3" t="n"/>
      <c r="F135" s="3">
        <f>IF(OR(E135="",G135&lt;&gt;"",H135&lt;&gt;""),"",WORKDAY(E135,5))</f>
        <v/>
      </c>
      <c r="G135" s="3" t="n"/>
      <c r="H135" s="3" t="n"/>
      <c r="I135" s="2" t="n"/>
      <c r="J135" s="2">
        <f>IF(A135="","",IF(I135&lt;&gt;"","Antwort bearbeiten",IF(G135&lt;&gt;"",IF(TODAY()&gt;=WORKDAY(G135,7),"Als Keine Antwort abschließen","Warten auf Antwort"),IF(E135&lt;&gt;"",IF(TODAY()&gt;=F135,"Follow-up schreiben!","Warten bis Follow-up-Datum"),IF(D135="Versandbereit","Erstmail senden","Konzept fertigstellen")))))</f>
        <v/>
      </c>
      <c r="K135" s="2" t="n"/>
      <c r="L135" s="2" t="n"/>
    </row>
    <row r="136">
      <c r="A136" s="2" t="n"/>
      <c r="B136" s="2" t="n"/>
      <c r="C136" s="2" t="n"/>
      <c r="D136" s="2" t="n"/>
      <c r="E136" s="3" t="n"/>
      <c r="F136" s="3">
        <f>IF(OR(E136="",G136&lt;&gt;"",H136&lt;&gt;""),"",WORKDAY(E136,5))</f>
        <v/>
      </c>
      <c r="G136" s="3" t="n"/>
      <c r="H136" s="3" t="n"/>
      <c r="I136" s="2" t="n"/>
      <c r="J136" s="2">
        <f>IF(A136="","",IF(I136&lt;&gt;"","Antwort bearbeiten",IF(G136&lt;&gt;"",IF(TODAY()&gt;=WORKDAY(G136,7),"Als Keine Antwort abschließen","Warten auf Antwort"),IF(E136&lt;&gt;"",IF(TODAY()&gt;=F136,"Follow-up schreiben!","Warten bis Follow-up-Datum"),IF(D136="Versandbereit","Erstmail senden","Konzept fertigstellen")))))</f>
        <v/>
      </c>
      <c r="K136" s="2" t="n"/>
      <c r="L136" s="2" t="n"/>
    </row>
    <row r="137">
      <c r="A137" s="2" t="n"/>
      <c r="B137" s="2" t="n"/>
      <c r="C137" s="2" t="n"/>
      <c r="D137" s="2" t="n"/>
      <c r="E137" s="3" t="n"/>
      <c r="F137" s="3">
        <f>IF(OR(E137="",G137&lt;&gt;"",H137&lt;&gt;""),"",WORKDAY(E137,5))</f>
        <v/>
      </c>
      <c r="G137" s="3" t="n"/>
      <c r="H137" s="3" t="n"/>
      <c r="I137" s="2" t="n"/>
      <c r="J137" s="2">
        <f>IF(A137="","",IF(I137&lt;&gt;"","Antwort bearbeiten",IF(G137&lt;&gt;"",IF(TODAY()&gt;=WORKDAY(G137,7),"Als Keine Antwort abschließen","Warten auf Antwort"),IF(E137&lt;&gt;"",IF(TODAY()&gt;=F137,"Follow-up schreiben!","Warten bis Follow-up-Datum"),IF(D137="Versandbereit","Erstmail senden","Konzept fertigstellen")))))</f>
        <v/>
      </c>
      <c r="K137" s="2" t="n"/>
      <c r="L137" s="2" t="n"/>
    </row>
    <row r="138">
      <c r="A138" s="2" t="n"/>
      <c r="B138" s="2" t="n"/>
      <c r="C138" s="2" t="n"/>
      <c r="D138" s="2" t="n"/>
      <c r="E138" s="3" t="n"/>
      <c r="F138" s="3">
        <f>IF(OR(E138="",G138&lt;&gt;"",H138&lt;&gt;""),"",WORKDAY(E138,5))</f>
        <v/>
      </c>
      <c r="G138" s="3" t="n"/>
      <c r="H138" s="3" t="n"/>
      <c r="I138" s="2" t="n"/>
      <c r="J138" s="2">
        <f>IF(A138="","",IF(I138&lt;&gt;"","Antwort bearbeiten",IF(G138&lt;&gt;"",IF(TODAY()&gt;=WORKDAY(G138,7),"Als Keine Antwort abschließen","Warten auf Antwort"),IF(E138&lt;&gt;"",IF(TODAY()&gt;=F138,"Follow-up schreiben!","Warten bis Follow-up-Datum"),IF(D138="Versandbereit","Erstmail senden","Konzept fertigstellen")))))</f>
        <v/>
      </c>
      <c r="K138" s="2" t="n"/>
      <c r="L138" s="2" t="n"/>
    </row>
    <row r="139">
      <c r="A139" s="2" t="n"/>
      <c r="B139" s="2" t="n"/>
      <c r="C139" s="2" t="n"/>
      <c r="D139" s="2" t="n"/>
      <c r="E139" s="3" t="n"/>
      <c r="F139" s="3">
        <f>IF(OR(E139="",G139&lt;&gt;"",H139&lt;&gt;""),"",WORKDAY(E139,5))</f>
        <v/>
      </c>
      <c r="G139" s="3" t="n"/>
      <c r="H139" s="3" t="n"/>
      <c r="I139" s="2" t="n"/>
      <c r="J139" s="2">
        <f>IF(A139="","",IF(I139&lt;&gt;"","Antwort bearbeiten",IF(G139&lt;&gt;"",IF(TODAY()&gt;=WORKDAY(G139,7),"Als Keine Antwort abschließen","Warten auf Antwort"),IF(E139&lt;&gt;"",IF(TODAY()&gt;=F139,"Follow-up schreiben!","Warten bis Follow-up-Datum"),IF(D139="Versandbereit","Erstmail senden","Konzept fertigstellen")))))</f>
        <v/>
      </c>
      <c r="K139" s="2" t="n"/>
      <c r="L139" s="2" t="n"/>
    </row>
    <row r="140">
      <c r="A140" s="2" t="n"/>
      <c r="B140" s="2" t="n"/>
      <c r="C140" s="2" t="n"/>
      <c r="D140" s="2" t="n"/>
      <c r="E140" s="3" t="n"/>
      <c r="F140" s="3">
        <f>IF(OR(E140="",G140&lt;&gt;"",H140&lt;&gt;""),"",WORKDAY(E140,5))</f>
        <v/>
      </c>
      <c r="G140" s="3" t="n"/>
      <c r="H140" s="3" t="n"/>
      <c r="I140" s="2" t="n"/>
      <c r="J140" s="2">
        <f>IF(A140="","",IF(I140&lt;&gt;"","Antwort bearbeiten",IF(G140&lt;&gt;"",IF(TODAY()&gt;=WORKDAY(G140,7),"Als Keine Antwort abschließen","Warten auf Antwort"),IF(E140&lt;&gt;"",IF(TODAY()&gt;=F140,"Follow-up schreiben!","Warten bis Follow-up-Datum"),IF(D140="Versandbereit","Erstmail senden","Konzept fertigstellen")))))</f>
        <v/>
      </c>
      <c r="K140" s="2" t="n"/>
      <c r="L140" s="2" t="n"/>
    </row>
    <row r="141">
      <c r="A141" s="2" t="n"/>
      <c r="B141" s="2" t="n"/>
      <c r="C141" s="2" t="n"/>
      <c r="D141" s="2" t="n"/>
      <c r="E141" s="3" t="n"/>
      <c r="F141" s="3">
        <f>IF(OR(E141="",G141&lt;&gt;"",H141&lt;&gt;""),"",WORKDAY(E141,5))</f>
        <v/>
      </c>
      <c r="G141" s="3" t="n"/>
      <c r="H141" s="3" t="n"/>
      <c r="I141" s="2" t="n"/>
      <c r="J141" s="2">
        <f>IF(A141="","",IF(I141&lt;&gt;"","Antwort bearbeiten",IF(G141&lt;&gt;"",IF(TODAY()&gt;=WORKDAY(G141,7),"Als Keine Antwort abschließen","Warten auf Antwort"),IF(E141&lt;&gt;"",IF(TODAY()&gt;=F141,"Follow-up schreiben!","Warten bis Follow-up-Datum"),IF(D141="Versandbereit","Erstmail senden","Konzept fertigstellen")))))</f>
        <v/>
      </c>
      <c r="K141" s="2" t="n"/>
      <c r="L141" s="2" t="n"/>
    </row>
    <row r="142">
      <c r="A142" s="2" t="n"/>
      <c r="B142" s="2" t="n"/>
      <c r="C142" s="2" t="n"/>
      <c r="D142" s="2" t="n"/>
      <c r="E142" s="3" t="n"/>
      <c r="F142" s="3">
        <f>IF(OR(E142="",G142&lt;&gt;"",H142&lt;&gt;""),"",WORKDAY(E142,5))</f>
        <v/>
      </c>
      <c r="G142" s="3" t="n"/>
      <c r="H142" s="3" t="n"/>
      <c r="I142" s="2" t="n"/>
      <c r="J142" s="2">
        <f>IF(A142="","",IF(I142&lt;&gt;"","Antwort bearbeiten",IF(G142&lt;&gt;"",IF(TODAY()&gt;=WORKDAY(G142,7),"Als Keine Antwort abschließen","Warten auf Antwort"),IF(E142&lt;&gt;"",IF(TODAY()&gt;=F142,"Follow-up schreiben!","Warten bis Follow-up-Datum"),IF(D142="Versandbereit","Erstmail senden","Konzept fertigstellen")))))</f>
        <v/>
      </c>
      <c r="K142" s="2" t="n"/>
      <c r="L142" s="2" t="n"/>
    </row>
    <row r="143">
      <c r="A143" s="2" t="n"/>
      <c r="B143" s="2" t="n"/>
      <c r="C143" s="2" t="n"/>
      <c r="D143" s="2" t="n"/>
      <c r="E143" s="3" t="n"/>
      <c r="F143" s="3">
        <f>IF(OR(E143="",G143&lt;&gt;"",H143&lt;&gt;""),"",WORKDAY(E143,5))</f>
        <v/>
      </c>
      <c r="G143" s="3" t="n"/>
      <c r="H143" s="3" t="n"/>
      <c r="I143" s="2" t="n"/>
      <c r="J143" s="2">
        <f>IF(A143="","",IF(I143&lt;&gt;"","Antwort bearbeiten",IF(G143&lt;&gt;"",IF(TODAY()&gt;=WORKDAY(G143,7),"Als Keine Antwort abschließen","Warten auf Antwort"),IF(E143&lt;&gt;"",IF(TODAY()&gt;=F143,"Follow-up schreiben!","Warten bis Follow-up-Datum"),IF(D143="Versandbereit","Erstmail senden","Konzept fertigstellen")))))</f>
        <v/>
      </c>
      <c r="K143" s="2" t="n"/>
      <c r="L143" s="2" t="n"/>
    </row>
    <row r="144">
      <c r="A144" s="2" t="n"/>
      <c r="B144" s="2" t="n"/>
      <c r="C144" s="2" t="n"/>
      <c r="D144" s="2" t="n"/>
      <c r="E144" s="3" t="n"/>
      <c r="F144" s="3">
        <f>IF(OR(E144="",G144&lt;&gt;"",H144&lt;&gt;""),"",WORKDAY(E144,5))</f>
        <v/>
      </c>
      <c r="G144" s="3" t="n"/>
      <c r="H144" s="3" t="n"/>
      <c r="I144" s="2" t="n"/>
      <c r="J144" s="2">
        <f>IF(A144="","",IF(I144&lt;&gt;"","Antwort bearbeiten",IF(G144&lt;&gt;"",IF(TODAY()&gt;=WORKDAY(G144,7),"Als Keine Antwort abschließen","Warten auf Antwort"),IF(E144&lt;&gt;"",IF(TODAY()&gt;=F144,"Follow-up schreiben!","Warten bis Follow-up-Datum"),IF(D144="Versandbereit","Erstmail senden","Konzept fertigstellen")))))</f>
        <v/>
      </c>
      <c r="K144" s="2" t="n"/>
      <c r="L144" s="2" t="n"/>
    </row>
    <row r="145">
      <c r="A145" s="2" t="n"/>
      <c r="B145" s="2" t="n"/>
      <c r="C145" s="2" t="n"/>
      <c r="D145" s="2" t="n"/>
      <c r="E145" s="3" t="n"/>
      <c r="F145" s="3">
        <f>IF(OR(E145="",G145&lt;&gt;"",H145&lt;&gt;""),"",WORKDAY(E145,5))</f>
        <v/>
      </c>
      <c r="G145" s="3" t="n"/>
      <c r="H145" s="3" t="n"/>
      <c r="I145" s="2" t="n"/>
      <c r="J145" s="2">
        <f>IF(A145="","",IF(I145&lt;&gt;"","Antwort bearbeiten",IF(G145&lt;&gt;"",IF(TODAY()&gt;=WORKDAY(G145,7),"Als Keine Antwort abschließen","Warten auf Antwort"),IF(E145&lt;&gt;"",IF(TODAY()&gt;=F145,"Follow-up schreiben!","Warten bis Follow-up-Datum"),IF(D145="Versandbereit","Erstmail senden","Konzept fertigstellen")))))</f>
        <v/>
      </c>
      <c r="K145" s="2" t="n"/>
      <c r="L145" s="2" t="n"/>
    </row>
    <row r="146">
      <c r="A146" s="2" t="n"/>
      <c r="B146" s="2" t="n"/>
      <c r="C146" s="2" t="n"/>
      <c r="D146" s="2" t="n"/>
      <c r="E146" s="3" t="n"/>
      <c r="F146" s="3">
        <f>IF(OR(E146="",G146&lt;&gt;"",H146&lt;&gt;""),"",WORKDAY(E146,5))</f>
        <v/>
      </c>
      <c r="G146" s="3" t="n"/>
      <c r="H146" s="3" t="n"/>
      <c r="I146" s="2" t="n"/>
      <c r="J146" s="2">
        <f>IF(A146="","",IF(I146&lt;&gt;"","Antwort bearbeiten",IF(G146&lt;&gt;"",IF(TODAY()&gt;=WORKDAY(G146,7),"Als Keine Antwort abschließen","Warten auf Antwort"),IF(E146&lt;&gt;"",IF(TODAY()&gt;=F146,"Follow-up schreiben!","Warten bis Follow-up-Datum"),IF(D146="Versandbereit","Erstmail senden","Konzept fertigstellen")))))</f>
        <v/>
      </c>
      <c r="K146" s="2" t="n"/>
      <c r="L146" s="2" t="n"/>
    </row>
    <row r="147">
      <c r="A147" s="2" t="n"/>
      <c r="B147" s="2" t="n"/>
      <c r="C147" s="2" t="n"/>
      <c r="D147" s="2" t="n"/>
      <c r="E147" s="3" t="n"/>
      <c r="F147" s="3">
        <f>IF(OR(E147="",G147&lt;&gt;"",H147&lt;&gt;""),"",WORKDAY(E147,5))</f>
        <v/>
      </c>
      <c r="G147" s="3" t="n"/>
      <c r="H147" s="3" t="n"/>
      <c r="I147" s="2" t="n"/>
      <c r="J147" s="2">
        <f>IF(A147="","",IF(I147&lt;&gt;"","Antwort bearbeiten",IF(G147&lt;&gt;"",IF(TODAY()&gt;=WORKDAY(G147,7),"Als Keine Antwort abschließen","Warten auf Antwort"),IF(E147&lt;&gt;"",IF(TODAY()&gt;=F147,"Follow-up schreiben!","Warten bis Follow-up-Datum"),IF(D147="Versandbereit","Erstmail senden","Konzept fertigstellen")))))</f>
        <v/>
      </c>
      <c r="K147" s="2" t="n"/>
      <c r="L147" s="2" t="n"/>
    </row>
    <row r="148">
      <c r="A148" s="2" t="n"/>
      <c r="B148" s="2" t="n"/>
      <c r="C148" s="2" t="n"/>
      <c r="D148" s="2" t="n"/>
      <c r="E148" s="3" t="n"/>
      <c r="F148" s="3">
        <f>IF(OR(E148="",G148&lt;&gt;"",H148&lt;&gt;""),"",WORKDAY(E148,5))</f>
        <v/>
      </c>
      <c r="G148" s="3" t="n"/>
      <c r="H148" s="3" t="n"/>
      <c r="I148" s="2" t="n"/>
      <c r="J148" s="2">
        <f>IF(A148="","",IF(I148&lt;&gt;"","Antwort bearbeiten",IF(G148&lt;&gt;"",IF(TODAY()&gt;=WORKDAY(G148,7),"Als Keine Antwort abschließen","Warten auf Antwort"),IF(E148&lt;&gt;"",IF(TODAY()&gt;=F148,"Follow-up schreiben!","Warten bis Follow-up-Datum"),IF(D148="Versandbereit","Erstmail senden","Konzept fertigstellen")))))</f>
        <v/>
      </c>
      <c r="K148" s="2" t="n"/>
      <c r="L148" s="2" t="n"/>
    </row>
    <row r="149">
      <c r="A149" s="2" t="n"/>
      <c r="B149" s="2" t="n"/>
      <c r="C149" s="2" t="n"/>
      <c r="D149" s="2" t="n"/>
      <c r="E149" s="3" t="n"/>
      <c r="F149" s="3">
        <f>IF(OR(E149="",G149&lt;&gt;"",H149&lt;&gt;""),"",WORKDAY(E149,5))</f>
        <v/>
      </c>
      <c r="G149" s="3" t="n"/>
      <c r="H149" s="3" t="n"/>
      <c r="I149" s="2" t="n"/>
      <c r="J149" s="2">
        <f>IF(A149="","",IF(I149&lt;&gt;"","Antwort bearbeiten",IF(G149&lt;&gt;"",IF(TODAY()&gt;=WORKDAY(G149,7),"Als Keine Antwort abschließen","Warten auf Antwort"),IF(E149&lt;&gt;"",IF(TODAY()&gt;=F149,"Follow-up schreiben!","Warten bis Follow-up-Datum"),IF(D149="Versandbereit","Erstmail senden","Konzept fertigstellen")))))</f>
        <v/>
      </c>
      <c r="K149" s="2" t="n"/>
      <c r="L149" s="2" t="n"/>
    </row>
    <row r="150">
      <c r="A150" s="2" t="n"/>
      <c r="B150" s="2" t="n"/>
      <c r="C150" s="2" t="n"/>
      <c r="D150" s="2" t="n"/>
      <c r="E150" s="3" t="n"/>
      <c r="F150" s="3">
        <f>IF(OR(E150="",G150&lt;&gt;"",H150&lt;&gt;""),"",WORKDAY(E150,5))</f>
        <v/>
      </c>
      <c r="G150" s="3" t="n"/>
      <c r="H150" s="3" t="n"/>
      <c r="I150" s="2" t="n"/>
      <c r="J150" s="2">
        <f>IF(A150="","",IF(I150&lt;&gt;"","Antwort bearbeiten",IF(G150&lt;&gt;"",IF(TODAY()&gt;=WORKDAY(G150,7),"Als Keine Antwort abschließen","Warten auf Antwort"),IF(E150&lt;&gt;"",IF(TODAY()&gt;=F150,"Follow-up schreiben!","Warten bis Follow-up-Datum"),IF(D150="Versandbereit","Erstmail senden","Konzept fertigstellen")))))</f>
        <v/>
      </c>
      <c r="K150" s="2" t="n"/>
      <c r="L150" s="2" t="n"/>
    </row>
    <row r="151">
      <c r="A151" s="2" t="n"/>
      <c r="B151" s="2" t="n"/>
      <c r="C151" s="2" t="n"/>
      <c r="D151" s="2" t="n"/>
      <c r="E151" s="3" t="n"/>
      <c r="F151" s="3">
        <f>IF(OR(E151="",G151&lt;&gt;"",H151&lt;&gt;""),"",WORKDAY(E151,5))</f>
        <v/>
      </c>
      <c r="G151" s="3" t="n"/>
      <c r="H151" s="3" t="n"/>
      <c r="I151" s="2" t="n"/>
      <c r="J151" s="2">
        <f>IF(A151="","",IF(I151&lt;&gt;"","Antwort bearbeiten",IF(G151&lt;&gt;"",IF(TODAY()&gt;=WORKDAY(G151,7),"Als Keine Antwort abschließen","Warten auf Antwort"),IF(E151&lt;&gt;"",IF(TODAY()&gt;=F151,"Follow-up schreiben!","Warten bis Follow-up-Datum"),IF(D151="Versandbereit","Erstmail senden","Konzept fertigstellen")))))</f>
        <v/>
      </c>
      <c r="K151" s="2" t="n"/>
      <c r="L151" s="2" t="n"/>
    </row>
    <row r="152">
      <c r="A152" s="2" t="n"/>
      <c r="B152" s="2" t="n"/>
      <c r="C152" s="2" t="n"/>
      <c r="D152" s="2" t="n"/>
      <c r="E152" s="3" t="n"/>
      <c r="F152" s="3">
        <f>IF(OR(E152="",G152&lt;&gt;"",H152&lt;&gt;""),"",WORKDAY(E152,5))</f>
        <v/>
      </c>
      <c r="G152" s="3" t="n"/>
      <c r="H152" s="3" t="n"/>
      <c r="I152" s="2" t="n"/>
      <c r="J152" s="2">
        <f>IF(A152="","",IF(I152&lt;&gt;"","Antwort bearbeiten",IF(G152&lt;&gt;"",IF(TODAY()&gt;=WORKDAY(G152,7),"Als Keine Antwort abschließen","Warten auf Antwort"),IF(E152&lt;&gt;"",IF(TODAY()&gt;=F152,"Follow-up schreiben!","Warten bis Follow-up-Datum"),IF(D152="Versandbereit","Erstmail senden","Konzept fertigstellen")))))</f>
        <v/>
      </c>
      <c r="K152" s="2" t="n"/>
      <c r="L152" s="2" t="n"/>
    </row>
    <row r="153">
      <c r="A153" s="2" t="n"/>
      <c r="B153" s="2" t="n"/>
      <c r="C153" s="2" t="n"/>
      <c r="D153" s="2" t="n"/>
      <c r="E153" s="3" t="n"/>
      <c r="F153" s="3">
        <f>IF(OR(E153="",G153&lt;&gt;"",H153&lt;&gt;""),"",WORKDAY(E153,5))</f>
        <v/>
      </c>
      <c r="G153" s="3" t="n"/>
      <c r="H153" s="3" t="n"/>
      <c r="I153" s="2" t="n"/>
      <c r="J153" s="2">
        <f>IF(A153="","",IF(I153&lt;&gt;"","Antwort bearbeiten",IF(G153&lt;&gt;"",IF(TODAY()&gt;=WORKDAY(G153,7),"Als Keine Antwort abschließen","Warten auf Antwort"),IF(E153&lt;&gt;"",IF(TODAY()&gt;=F153,"Follow-up schreiben!","Warten bis Follow-up-Datum"),IF(D153="Versandbereit","Erstmail senden","Konzept fertigstellen")))))</f>
        <v/>
      </c>
      <c r="K153" s="2" t="n"/>
      <c r="L153" s="2" t="n"/>
    </row>
    <row r="154">
      <c r="A154" s="2" t="n"/>
      <c r="B154" s="2" t="n"/>
      <c r="C154" s="2" t="n"/>
      <c r="D154" s="2" t="n"/>
      <c r="E154" s="3" t="n"/>
      <c r="F154" s="3">
        <f>IF(OR(E154="",G154&lt;&gt;"",H154&lt;&gt;""),"",WORKDAY(E154,5))</f>
        <v/>
      </c>
      <c r="G154" s="3" t="n"/>
      <c r="H154" s="3" t="n"/>
      <c r="I154" s="2" t="n"/>
      <c r="J154" s="2">
        <f>IF(A154="","",IF(I154&lt;&gt;"","Antwort bearbeiten",IF(G154&lt;&gt;"",IF(TODAY()&gt;=WORKDAY(G154,7),"Als Keine Antwort abschließen","Warten auf Antwort"),IF(E154&lt;&gt;"",IF(TODAY()&gt;=F154,"Follow-up schreiben!","Warten bis Follow-up-Datum"),IF(D154="Versandbereit","Erstmail senden","Konzept fertigstellen")))))</f>
        <v/>
      </c>
      <c r="K154" s="2" t="n"/>
      <c r="L154" s="2" t="n"/>
    </row>
    <row r="155">
      <c r="A155" s="2" t="n"/>
      <c r="B155" s="2" t="n"/>
      <c r="C155" s="2" t="n"/>
      <c r="D155" s="2" t="n"/>
      <c r="E155" s="3" t="n"/>
      <c r="F155" s="3">
        <f>IF(OR(E155="",G155&lt;&gt;"",H155&lt;&gt;""),"",WORKDAY(E155,5))</f>
        <v/>
      </c>
      <c r="G155" s="3" t="n"/>
      <c r="H155" s="3" t="n"/>
      <c r="I155" s="2" t="n"/>
      <c r="J155" s="2">
        <f>IF(A155="","",IF(I155&lt;&gt;"","Antwort bearbeiten",IF(G155&lt;&gt;"",IF(TODAY()&gt;=WORKDAY(G155,7),"Als Keine Antwort abschließen","Warten auf Antwort"),IF(E155&lt;&gt;"",IF(TODAY()&gt;=F155,"Follow-up schreiben!","Warten bis Follow-up-Datum"),IF(D155="Versandbereit","Erstmail senden","Konzept fertigstellen")))))</f>
        <v/>
      </c>
      <c r="K155" s="2" t="n"/>
      <c r="L155" s="2" t="n"/>
    </row>
    <row r="156">
      <c r="A156" s="2" t="n"/>
      <c r="B156" s="2" t="n"/>
      <c r="C156" s="2" t="n"/>
      <c r="D156" s="2" t="n"/>
      <c r="E156" s="3" t="n"/>
      <c r="F156" s="3">
        <f>IF(OR(E156="",G156&lt;&gt;"",H156&lt;&gt;""),"",WORKDAY(E156,5))</f>
        <v/>
      </c>
      <c r="G156" s="3" t="n"/>
      <c r="H156" s="3" t="n"/>
      <c r="I156" s="2" t="n"/>
      <c r="J156" s="2">
        <f>IF(A156="","",IF(I156&lt;&gt;"","Antwort bearbeiten",IF(G156&lt;&gt;"",IF(TODAY()&gt;=WORKDAY(G156,7),"Als Keine Antwort abschließen","Warten auf Antwort"),IF(E156&lt;&gt;"",IF(TODAY()&gt;=F156,"Follow-up schreiben!","Warten bis Follow-up-Datum"),IF(D156="Versandbereit","Erstmail senden","Konzept fertigstellen")))))</f>
        <v/>
      </c>
      <c r="K156" s="2" t="n"/>
      <c r="L156" s="2" t="n"/>
    </row>
    <row r="157">
      <c r="A157" s="2" t="n"/>
      <c r="B157" s="2" t="n"/>
      <c r="C157" s="2" t="n"/>
      <c r="D157" s="2" t="n"/>
      <c r="E157" s="3" t="n"/>
      <c r="F157" s="3">
        <f>IF(OR(E157="",G157&lt;&gt;"",H157&lt;&gt;""),"",WORKDAY(E157,5))</f>
        <v/>
      </c>
      <c r="G157" s="3" t="n"/>
      <c r="H157" s="3" t="n"/>
      <c r="I157" s="2" t="n"/>
      <c r="J157" s="2">
        <f>IF(A157="","",IF(I157&lt;&gt;"","Antwort bearbeiten",IF(G157&lt;&gt;"",IF(TODAY()&gt;=WORKDAY(G157,7),"Als Keine Antwort abschließen","Warten auf Antwort"),IF(E157&lt;&gt;"",IF(TODAY()&gt;=F157,"Follow-up schreiben!","Warten bis Follow-up-Datum"),IF(D157="Versandbereit","Erstmail senden","Konzept fertigstellen")))))</f>
        <v/>
      </c>
      <c r="K157" s="2" t="n"/>
      <c r="L157" s="2" t="n"/>
    </row>
    <row r="158">
      <c r="A158" s="2" t="n"/>
      <c r="B158" s="2" t="n"/>
      <c r="C158" s="2" t="n"/>
      <c r="D158" s="2" t="n"/>
      <c r="E158" s="3" t="n"/>
      <c r="F158" s="3">
        <f>IF(OR(E158="",G158&lt;&gt;"",H158&lt;&gt;""),"",WORKDAY(E158,5))</f>
        <v/>
      </c>
      <c r="G158" s="3" t="n"/>
      <c r="H158" s="3" t="n"/>
      <c r="I158" s="2" t="n"/>
      <c r="J158" s="2">
        <f>IF(A158="","",IF(I158&lt;&gt;"","Antwort bearbeiten",IF(G158&lt;&gt;"",IF(TODAY()&gt;=WORKDAY(G158,7),"Als Keine Antwort abschließen","Warten auf Antwort"),IF(E158&lt;&gt;"",IF(TODAY()&gt;=F158,"Follow-up schreiben!","Warten bis Follow-up-Datum"),IF(D158="Versandbereit","Erstmail senden","Konzept fertigstellen")))))</f>
        <v/>
      </c>
      <c r="K158" s="2" t="n"/>
      <c r="L158" s="2" t="n"/>
    </row>
    <row r="159">
      <c r="A159" s="2" t="n"/>
      <c r="B159" s="2" t="n"/>
      <c r="C159" s="2" t="n"/>
      <c r="D159" s="2" t="n"/>
      <c r="E159" s="3" t="n"/>
      <c r="F159" s="3">
        <f>IF(OR(E159="",G159&lt;&gt;"",H159&lt;&gt;""),"",WORKDAY(E159,5))</f>
        <v/>
      </c>
      <c r="G159" s="3" t="n"/>
      <c r="H159" s="3" t="n"/>
      <c r="I159" s="2" t="n"/>
      <c r="J159" s="2">
        <f>IF(A159="","",IF(I159&lt;&gt;"","Antwort bearbeiten",IF(G159&lt;&gt;"",IF(TODAY()&gt;=WORKDAY(G159,7),"Als Keine Antwort abschließen","Warten auf Antwort"),IF(E159&lt;&gt;"",IF(TODAY()&gt;=F159,"Follow-up schreiben!","Warten bis Follow-up-Datum"),IF(D159="Versandbereit","Erstmail senden","Konzept fertigstellen")))))</f>
        <v/>
      </c>
      <c r="K159" s="2" t="n"/>
      <c r="L159" s="2" t="n"/>
    </row>
    <row r="160">
      <c r="A160" s="2" t="n"/>
      <c r="B160" s="2" t="n"/>
      <c r="C160" s="2" t="n"/>
      <c r="D160" s="2" t="n"/>
      <c r="E160" s="3" t="n"/>
      <c r="F160" s="3">
        <f>IF(OR(E160="",G160&lt;&gt;"",H160&lt;&gt;""),"",WORKDAY(E160,5))</f>
        <v/>
      </c>
      <c r="G160" s="3" t="n"/>
      <c r="H160" s="3" t="n"/>
      <c r="I160" s="2" t="n"/>
      <c r="J160" s="2">
        <f>IF(A160="","",IF(I160&lt;&gt;"","Antwort bearbeiten",IF(G160&lt;&gt;"",IF(TODAY()&gt;=WORKDAY(G160,7),"Als Keine Antwort abschließen","Warten auf Antwort"),IF(E160&lt;&gt;"",IF(TODAY()&gt;=F160,"Follow-up schreiben!","Warten bis Follow-up-Datum"),IF(D160="Versandbereit","Erstmail senden","Konzept fertigstellen")))))</f>
        <v/>
      </c>
      <c r="K160" s="2" t="n"/>
      <c r="L160" s="2" t="n"/>
    </row>
    <row r="161">
      <c r="A161" s="2" t="n"/>
      <c r="B161" s="2" t="n"/>
      <c r="C161" s="2" t="n"/>
      <c r="D161" s="2" t="n"/>
      <c r="E161" s="3" t="n"/>
      <c r="F161" s="3">
        <f>IF(OR(E161="",G161&lt;&gt;"",H161&lt;&gt;""),"",WORKDAY(E161,5))</f>
        <v/>
      </c>
      <c r="G161" s="3" t="n"/>
      <c r="H161" s="3" t="n"/>
      <c r="I161" s="2" t="n"/>
      <c r="J161" s="2">
        <f>IF(A161="","",IF(I161&lt;&gt;"","Antwort bearbeiten",IF(G161&lt;&gt;"",IF(TODAY()&gt;=WORKDAY(G161,7),"Als Keine Antwort abschließen","Warten auf Antwort"),IF(E161&lt;&gt;"",IF(TODAY()&gt;=F161,"Follow-up schreiben!","Warten bis Follow-up-Datum"),IF(D161="Versandbereit","Erstmail senden","Konzept fertigstellen")))))</f>
        <v/>
      </c>
      <c r="K161" s="2" t="n"/>
      <c r="L161" s="2" t="n"/>
    </row>
    <row r="162">
      <c r="A162" s="2" t="n"/>
      <c r="B162" s="2" t="n"/>
      <c r="C162" s="2" t="n"/>
      <c r="D162" s="2" t="n"/>
      <c r="E162" s="3" t="n"/>
      <c r="F162" s="3">
        <f>IF(OR(E162="",G162&lt;&gt;"",H162&lt;&gt;""),"",WORKDAY(E162,5))</f>
        <v/>
      </c>
      <c r="G162" s="3" t="n"/>
      <c r="H162" s="3" t="n"/>
      <c r="I162" s="2" t="n"/>
      <c r="J162" s="2">
        <f>IF(A162="","",IF(I162&lt;&gt;"","Antwort bearbeiten",IF(G162&lt;&gt;"",IF(TODAY()&gt;=WORKDAY(G162,7),"Als Keine Antwort abschließen","Warten auf Antwort"),IF(E162&lt;&gt;"",IF(TODAY()&gt;=F162,"Follow-up schreiben!","Warten bis Follow-up-Datum"),IF(D162="Versandbereit","Erstmail senden","Konzept fertigstellen")))))</f>
        <v/>
      </c>
      <c r="K162" s="2" t="n"/>
      <c r="L162" s="2" t="n"/>
    </row>
    <row r="163">
      <c r="A163" s="2" t="n"/>
      <c r="B163" s="2" t="n"/>
      <c r="C163" s="2" t="n"/>
      <c r="D163" s="2" t="n"/>
      <c r="E163" s="3" t="n"/>
      <c r="F163" s="3">
        <f>IF(OR(E163="",G163&lt;&gt;"",H163&lt;&gt;""),"",WORKDAY(E163,5))</f>
        <v/>
      </c>
      <c r="G163" s="3" t="n"/>
      <c r="H163" s="3" t="n"/>
      <c r="I163" s="2" t="n"/>
      <c r="J163" s="2">
        <f>IF(A163="","",IF(I163&lt;&gt;"","Antwort bearbeiten",IF(G163&lt;&gt;"",IF(TODAY()&gt;=WORKDAY(G163,7),"Als Keine Antwort abschließen","Warten auf Antwort"),IF(E163&lt;&gt;"",IF(TODAY()&gt;=F163,"Follow-up schreiben!","Warten bis Follow-up-Datum"),IF(D163="Versandbereit","Erstmail senden","Konzept fertigstellen")))))</f>
        <v/>
      </c>
      <c r="K163" s="2" t="n"/>
      <c r="L163" s="2" t="n"/>
    </row>
    <row r="164">
      <c r="A164" s="2" t="n"/>
      <c r="B164" s="2" t="n"/>
      <c r="C164" s="2" t="n"/>
      <c r="D164" s="2" t="n"/>
      <c r="E164" s="3" t="n"/>
      <c r="F164" s="3">
        <f>IF(OR(E164="",G164&lt;&gt;"",H164&lt;&gt;""),"",WORKDAY(E164,5))</f>
        <v/>
      </c>
      <c r="G164" s="3" t="n"/>
      <c r="H164" s="3" t="n"/>
      <c r="I164" s="2" t="n"/>
      <c r="J164" s="2">
        <f>IF(A164="","",IF(I164&lt;&gt;"","Antwort bearbeiten",IF(G164&lt;&gt;"",IF(TODAY()&gt;=WORKDAY(G164,7),"Als Keine Antwort abschließen","Warten auf Antwort"),IF(E164&lt;&gt;"",IF(TODAY()&gt;=F164,"Follow-up schreiben!","Warten bis Follow-up-Datum"),IF(D164="Versandbereit","Erstmail senden","Konzept fertigstellen")))))</f>
        <v/>
      </c>
      <c r="K164" s="2" t="n"/>
      <c r="L164" s="2" t="n"/>
    </row>
    <row r="165">
      <c r="A165" s="2" t="n"/>
      <c r="B165" s="2" t="n"/>
      <c r="C165" s="2" t="n"/>
      <c r="D165" s="2" t="n"/>
      <c r="E165" s="3" t="n"/>
      <c r="F165" s="3">
        <f>IF(OR(E165="",G165&lt;&gt;"",H165&lt;&gt;""),"",WORKDAY(E165,5))</f>
        <v/>
      </c>
      <c r="G165" s="3" t="n"/>
      <c r="H165" s="3" t="n"/>
      <c r="I165" s="2" t="n"/>
      <c r="J165" s="2">
        <f>IF(A165="","",IF(I165&lt;&gt;"","Antwort bearbeiten",IF(G165&lt;&gt;"",IF(TODAY()&gt;=WORKDAY(G165,7),"Als Keine Antwort abschließen","Warten auf Antwort"),IF(E165&lt;&gt;"",IF(TODAY()&gt;=F165,"Follow-up schreiben!","Warten bis Follow-up-Datum"),IF(D165="Versandbereit","Erstmail senden","Konzept fertigstellen")))))</f>
        <v/>
      </c>
      <c r="K165" s="2" t="n"/>
      <c r="L165" s="2" t="n"/>
    </row>
    <row r="166">
      <c r="A166" s="2" t="n"/>
      <c r="B166" s="2" t="n"/>
      <c r="C166" s="2" t="n"/>
      <c r="D166" s="2" t="n"/>
      <c r="E166" s="3" t="n"/>
      <c r="F166" s="3">
        <f>IF(OR(E166="",G166&lt;&gt;"",H166&lt;&gt;""),"",WORKDAY(E166,5))</f>
        <v/>
      </c>
      <c r="G166" s="3" t="n"/>
      <c r="H166" s="3" t="n"/>
      <c r="I166" s="2" t="n"/>
      <c r="J166" s="2">
        <f>IF(A166="","",IF(I166&lt;&gt;"","Antwort bearbeiten",IF(G166&lt;&gt;"",IF(TODAY()&gt;=WORKDAY(G166,7),"Als Keine Antwort abschließen","Warten auf Antwort"),IF(E166&lt;&gt;"",IF(TODAY()&gt;=F166,"Follow-up schreiben!","Warten bis Follow-up-Datum"),IF(D166="Versandbereit","Erstmail senden","Konzept fertigstellen")))))</f>
        <v/>
      </c>
      <c r="K166" s="2" t="n"/>
      <c r="L166" s="2" t="n"/>
    </row>
    <row r="167">
      <c r="A167" s="2" t="n"/>
      <c r="B167" s="2" t="n"/>
      <c r="C167" s="2" t="n"/>
      <c r="D167" s="2" t="n"/>
      <c r="E167" s="3" t="n"/>
      <c r="F167" s="3">
        <f>IF(OR(E167="",G167&lt;&gt;"",H167&lt;&gt;""),"",WORKDAY(E167,5))</f>
        <v/>
      </c>
      <c r="G167" s="3" t="n"/>
      <c r="H167" s="3" t="n"/>
      <c r="I167" s="2" t="n"/>
      <c r="J167" s="2">
        <f>IF(A167="","",IF(I167&lt;&gt;"","Antwort bearbeiten",IF(G167&lt;&gt;"",IF(TODAY()&gt;=WORKDAY(G167,7),"Als Keine Antwort abschließen","Warten auf Antwort"),IF(E167&lt;&gt;"",IF(TODAY()&gt;=F167,"Follow-up schreiben!","Warten bis Follow-up-Datum"),IF(D167="Versandbereit","Erstmail senden","Konzept fertigstellen")))))</f>
        <v/>
      </c>
      <c r="K167" s="2" t="n"/>
      <c r="L167" s="2" t="n"/>
    </row>
    <row r="168">
      <c r="A168" s="2" t="n"/>
      <c r="B168" s="2" t="n"/>
      <c r="C168" s="2" t="n"/>
      <c r="D168" s="2" t="n"/>
      <c r="E168" s="3" t="n"/>
      <c r="F168" s="3">
        <f>IF(OR(E168="",G168&lt;&gt;"",H168&lt;&gt;""),"",WORKDAY(E168,5))</f>
        <v/>
      </c>
      <c r="G168" s="3" t="n"/>
      <c r="H168" s="3" t="n"/>
      <c r="I168" s="2" t="n"/>
      <c r="J168" s="2">
        <f>IF(A168="","",IF(I168&lt;&gt;"","Antwort bearbeiten",IF(G168&lt;&gt;"",IF(TODAY()&gt;=WORKDAY(G168,7),"Als Keine Antwort abschließen","Warten auf Antwort"),IF(E168&lt;&gt;"",IF(TODAY()&gt;=F168,"Follow-up schreiben!","Warten bis Follow-up-Datum"),IF(D168="Versandbereit","Erstmail senden","Konzept fertigstellen")))))</f>
        <v/>
      </c>
      <c r="K168" s="2" t="n"/>
      <c r="L168" s="2" t="n"/>
    </row>
    <row r="169">
      <c r="A169" s="2" t="n"/>
      <c r="B169" s="2" t="n"/>
      <c r="C169" s="2" t="n"/>
      <c r="D169" s="2" t="n"/>
      <c r="E169" s="3" t="n"/>
      <c r="F169" s="3">
        <f>IF(OR(E169="",G169&lt;&gt;"",H169&lt;&gt;""),"",WORKDAY(E169,5))</f>
        <v/>
      </c>
      <c r="G169" s="3" t="n"/>
      <c r="H169" s="3" t="n"/>
      <c r="I169" s="2" t="n"/>
      <c r="J169" s="2">
        <f>IF(A169="","",IF(I169&lt;&gt;"","Antwort bearbeiten",IF(G169&lt;&gt;"",IF(TODAY()&gt;=WORKDAY(G169,7),"Als Keine Antwort abschließen","Warten auf Antwort"),IF(E169&lt;&gt;"",IF(TODAY()&gt;=F169,"Follow-up schreiben!","Warten bis Follow-up-Datum"),IF(D169="Versandbereit","Erstmail senden","Konzept fertigstellen")))))</f>
        <v/>
      </c>
      <c r="K169" s="2" t="n"/>
      <c r="L169" s="2" t="n"/>
    </row>
    <row r="170">
      <c r="A170" s="2" t="n"/>
      <c r="B170" s="2" t="n"/>
      <c r="C170" s="2" t="n"/>
      <c r="D170" s="2" t="n"/>
      <c r="E170" s="3" t="n"/>
      <c r="F170" s="3">
        <f>IF(OR(E170="",G170&lt;&gt;"",H170&lt;&gt;""),"",WORKDAY(E170,5))</f>
        <v/>
      </c>
      <c r="G170" s="3" t="n"/>
      <c r="H170" s="3" t="n"/>
      <c r="I170" s="2" t="n"/>
      <c r="J170" s="2">
        <f>IF(A170="","",IF(I170&lt;&gt;"","Antwort bearbeiten",IF(G170&lt;&gt;"",IF(TODAY()&gt;=WORKDAY(G170,7),"Als Keine Antwort abschließen","Warten auf Antwort"),IF(E170&lt;&gt;"",IF(TODAY()&gt;=F170,"Follow-up schreiben!","Warten bis Follow-up-Datum"),IF(D170="Versandbereit","Erstmail senden","Konzept fertigstellen")))))</f>
        <v/>
      </c>
      <c r="K170" s="2" t="n"/>
      <c r="L170" s="2" t="n"/>
    </row>
    <row r="171">
      <c r="A171" s="2" t="n"/>
      <c r="B171" s="2" t="n"/>
      <c r="C171" s="2" t="n"/>
      <c r="D171" s="2" t="n"/>
      <c r="E171" s="3" t="n"/>
      <c r="F171" s="3">
        <f>IF(OR(E171="",G171&lt;&gt;"",H171&lt;&gt;""),"",WORKDAY(E171,5))</f>
        <v/>
      </c>
      <c r="G171" s="3" t="n"/>
      <c r="H171" s="3" t="n"/>
      <c r="I171" s="2" t="n"/>
      <c r="J171" s="2">
        <f>IF(A171="","",IF(I171&lt;&gt;"","Antwort bearbeiten",IF(G171&lt;&gt;"",IF(TODAY()&gt;=WORKDAY(G171,7),"Als Keine Antwort abschließen","Warten auf Antwort"),IF(E171&lt;&gt;"",IF(TODAY()&gt;=F171,"Follow-up schreiben!","Warten bis Follow-up-Datum"),IF(D171="Versandbereit","Erstmail senden","Konzept fertigstellen")))))</f>
        <v/>
      </c>
      <c r="K171" s="2" t="n"/>
      <c r="L171" s="2" t="n"/>
    </row>
    <row r="172">
      <c r="A172" s="2" t="n"/>
      <c r="B172" s="2" t="n"/>
      <c r="C172" s="2" t="n"/>
      <c r="D172" s="2" t="n"/>
      <c r="E172" s="3" t="n"/>
      <c r="F172" s="3">
        <f>IF(OR(E172="",G172&lt;&gt;"",H172&lt;&gt;""),"",WORKDAY(E172,5))</f>
        <v/>
      </c>
      <c r="G172" s="3" t="n"/>
      <c r="H172" s="3" t="n"/>
      <c r="I172" s="2" t="n"/>
      <c r="J172" s="2">
        <f>IF(A172="","",IF(I172&lt;&gt;"","Antwort bearbeiten",IF(G172&lt;&gt;"",IF(TODAY()&gt;=WORKDAY(G172,7),"Als Keine Antwort abschließen","Warten auf Antwort"),IF(E172&lt;&gt;"",IF(TODAY()&gt;=F172,"Follow-up schreiben!","Warten bis Follow-up-Datum"),IF(D172="Versandbereit","Erstmail senden","Konzept fertigstellen")))))</f>
        <v/>
      </c>
      <c r="K172" s="2" t="n"/>
      <c r="L172" s="2" t="n"/>
    </row>
    <row r="173">
      <c r="A173" s="2" t="n"/>
      <c r="B173" s="2" t="n"/>
      <c r="C173" s="2" t="n"/>
      <c r="D173" s="2" t="n"/>
      <c r="E173" s="3" t="n"/>
      <c r="F173" s="3">
        <f>IF(OR(E173="",G173&lt;&gt;"",H173&lt;&gt;""),"",WORKDAY(E173,5))</f>
        <v/>
      </c>
      <c r="G173" s="3" t="n"/>
      <c r="H173" s="3" t="n"/>
      <c r="I173" s="2" t="n"/>
      <c r="J173" s="2">
        <f>IF(A173="","",IF(I173&lt;&gt;"","Antwort bearbeiten",IF(G173&lt;&gt;"",IF(TODAY()&gt;=WORKDAY(G173,7),"Als Keine Antwort abschließen","Warten auf Antwort"),IF(E173&lt;&gt;"",IF(TODAY()&gt;=F173,"Follow-up schreiben!","Warten bis Follow-up-Datum"),IF(D173="Versandbereit","Erstmail senden","Konzept fertigstellen")))))</f>
        <v/>
      </c>
      <c r="K173" s="2" t="n"/>
      <c r="L173" s="2" t="n"/>
    </row>
    <row r="174">
      <c r="A174" s="2" t="n"/>
      <c r="B174" s="2" t="n"/>
      <c r="C174" s="2" t="n"/>
      <c r="D174" s="2" t="n"/>
      <c r="E174" s="3" t="n"/>
      <c r="F174" s="3">
        <f>IF(OR(E174="",G174&lt;&gt;"",H174&lt;&gt;""),"",WORKDAY(E174,5))</f>
        <v/>
      </c>
      <c r="G174" s="3" t="n"/>
      <c r="H174" s="3" t="n"/>
      <c r="I174" s="2" t="n"/>
      <c r="J174" s="2">
        <f>IF(A174="","",IF(I174&lt;&gt;"","Antwort bearbeiten",IF(G174&lt;&gt;"",IF(TODAY()&gt;=WORKDAY(G174,7),"Als Keine Antwort abschließen","Warten auf Antwort"),IF(E174&lt;&gt;"",IF(TODAY()&gt;=F174,"Follow-up schreiben!","Warten bis Follow-up-Datum"),IF(D174="Versandbereit","Erstmail senden","Konzept fertigstellen")))))</f>
        <v/>
      </c>
      <c r="K174" s="2" t="n"/>
      <c r="L174" s="2" t="n"/>
    </row>
    <row r="175">
      <c r="A175" s="2" t="n"/>
      <c r="B175" s="2" t="n"/>
      <c r="C175" s="2" t="n"/>
      <c r="D175" s="2" t="n"/>
      <c r="E175" s="3" t="n"/>
      <c r="F175" s="3">
        <f>IF(OR(E175="",G175&lt;&gt;"",H175&lt;&gt;""),"",WORKDAY(E175,5))</f>
        <v/>
      </c>
      <c r="G175" s="3" t="n"/>
      <c r="H175" s="3" t="n"/>
      <c r="I175" s="2" t="n"/>
      <c r="J175" s="2">
        <f>IF(A175="","",IF(I175&lt;&gt;"","Antwort bearbeiten",IF(G175&lt;&gt;"",IF(TODAY()&gt;=WORKDAY(G175,7),"Als Keine Antwort abschließen","Warten auf Antwort"),IF(E175&lt;&gt;"",IF(TODAY()&gt;=F175,"Follow-up schreiben!","Warten bis Follow-up-Datum"),IF(D175="Versandbereit","Erstmail senden","Konzept fertigstellen")))))</f>
        <v/>
      </c>
      <c r="K175" s="2" t="n"/>
      <c r="L175" s="2" t="n"/>
    </row>
    <row r="176">
      <c r="A176" s="2" t="n"/>
      <c r="B176" s="2" t="n"/>
      <c r="C176" s="2" t="n"/>
      <c r="D176" s="2" t="n"/>
      <c r="E176" s="3" t="n"/>
      <c r="F176" s="3">
        <f>IF(OR(E176="",G176&lt;&gt;"",H176&lt;&gt;""),"",WORKDAY(E176,5))</f>
        <v/>
      </c>
      <c r="G176" s="3" t="n"/>
      <c r="H176" s="3" t="n"/>
      <c r="I176" s="2" t="n"/>
      <c r="J176" s="2">
        <f>IF(A176="","",IF(I176&lt;&gt;"","Antwort bearbeiten",IF(G176&lt;&gt;"",IF(TODAY()&gt;=WORKDAY(G176,7),"Als Keine Antwort abschließen","Warten auf Antwort"),IF(E176&lt;&gt;"",IF(TODAY()&gt;=F176,"Follow-up schreiben!","Warten bis Follow-up-Datum"),IF(D176="Versandbereit","Erstmail senden","Konzept fertigstellen")))))</f>
        <v/>
      </c>
      <c r="K176" s="2" t="n"/>
      <c r="L176" s="2" t="n"/>
    </row>
    <row r="177">
      <c r="A177" s="2" t="n"/>
      <c r="B177" s="2" t="n"/>
      <c r="C177" s="2" t="n"/>
      <c r="D177" s="2" t="n"/>
      <c r="E177" s="3" t="n"/>
      <c r="F177" s="3">
        <f>IF(OR(E177="",G177&lt;&gt;"",H177&lt;&gt;""),"",WORKDAY(E177,5))</f>
        <v/>
      </c>
      <c r="G177" s="3" t="n"/>
      <c r="H177" s="3" t="n"/>
      <c r="I177" s="2" t="n"/>
      <c r="J177" s="2">
        <f>IF(A177="","",IF(I177&lt;&gt;"","Antwort bearbeiten",IF(G177&lt;&gt;"",IF(TODAY()&gt;=WORKDAY(G177,7),"Als Keine Antwort abschließen","Warten auf Antwort"),IF(E177&lt;&gt;"",IF(TODAY()&gt;=F177,"Follow-up schreiben!","Warten bis Follow-up-Datum"),IF(D177="Versandbereit","Erstmail senden","Konzept fertigstellen")))))</f>
        <v/>
      </c>
      <c r="K177" s="2" t="n"/>
      <c r="L177" s="2" t="n"/>
    </row>
    <row r="178">
      <c r="A178" s="2" t="n"/>
      <c r="B178" s="2" t="n"/>
      <c r="C178" s="2" t="n"/>
      <c r="D178" s="2" t="n"/>
      <c r="E178" s="3" t="n"/>
      <c r="F178" s="3">
        <f>IF(OR(E178="",G178&lt;&gt;"",H178&lt;&gt;""),"",WORKDAY(E178,5))</f>
        <v/>
      </c>
      <c r="G178" s="3" t="n"/>
      <c r="H178" s="3" t="n"/>
      <c r="I178" s="2" t="n"/>
      <c r="J178" s="2">
        <f>IF(A178="","",IF(I178&lt;&gt;"","Antwort bearbeiten",IF(G178&lt;&gt;"",IF(TODAY()&gt;=WORKDAY(G178,7),"Als Keine Antwort abschließen","Warten auf Antwort"),IF(E178&lt;&gt;"",IF(TODAY()&gt;=F178,"Follow-up schreiben!","Warten bis Follow-up-Datum"),IF(D178="Versandbereit","Erstmail senden","Konzept fertigstellen")))))</f>
        <v/>
      </c>
      <c r="K178" s="2" t="n"/>
      <c r="L178" s="2" t="n"/>
    </row>
    <row r="179">
      <c r="A179" s="2" t="n"/>
      <c r="B179" s="2" t="n"/>
      <c r="C179" s="2" t="n"/>
      <c r="D179" s="2" t="n"/>
      <c r="E179" s="3" t="n"/>
      <c r="F179" s="3">
        <f>IF(OR(E179="",G179&lt;&gt;"",H179&lt;&gt;""),"",WORKDAY(E179,5))</f>
        <v/>
      </c>
      <c r="G179" s="3" t="n"/>
      <c r="H179" s="3" t="n"/>
      <c r="I179" s="2" t="n"/>
      <c r="J179" s="2">
        <f>IF(A179="","",IF(I179&lt;&gt;"","Antwort bearbeiten",IF(G179&lt;&gt;"",IF(TODAY()&gt;=WORKDAY(G179,7),"Als Keine Antwort abschließen","Warten auf Antwort"),IF(E179&lt;&gt;"",IF(TODAY()&gt;=F179,"Follow-up schreiben!","Warten bis Follow-up-Datum"),IF(D179="Versandbereit","Erstmail senden","Konzept fertigstellen")))))</f>
        <v/>
      </c>
      <c r="K179" s="2" t="n"/>
      <c r="L179" s="2" t="n"/>
    </row>
    <row r="180">
      <c r="A180" s="2" t="n"/>
      <c r="B180" s="2" t="n"/>
      <c r="C180" s="2" t="n"/>
      <c r="D180" s="2" t="n"/>
      <c r="E180" s="3" t="n"/>
      <c r="F180" s="3">
        <f>IF(OR(E180="",G180&lt;&gt;"",H180&lt;&gt;""),"",WORKDAY(E180,5))</f>
        <v/>
      </c>
      <c r="G180" s="3" t="n"/>
      <c r="H180" s="3" t="n"/>
      <c r="I180" s="2" t="n"/>
      <c r="J180" s="2">
        <f>IF(A180="","",IF(I180&lt;&gt;"","Antwort bearbeiten",IF(G180&lt;&gt;"",IF(TODAY()&gt;=WORKDAY(G180,7),"Als Keine Antwort abschließen","Warten auf Antwort"),IF(E180&lt;&gt;"",IF(TODAY()&gt;=F180,"Follow-up schreiben!","Warten bis Follow-up-Datum"),IF(D180="Versandbereit","Erstmail senden","Konzept fertigstellen")))))</f>
        <v/>
      </c>
      <c r="K180" s="2" t="n"/>
      <c r="L180" s="2" t="n"/>
    </row>
    <row r="181">
      <c r="A181" s="2" t="n"/>
      <c r="B181" s="2" t="n"/>
      <c r="C181" s="2" t="n"/>
      <c r="D181" s="2" t="n"/>
      <c r="E181" s="3" t="n"/>
      <c r="F181" s="3">
        <f>IF(OR(E181="",G181&lt;&gt;"",H181&lt;&gt;""),"",WORKDAY(E181,5))</f>
        <v/>
      </c>
      <c r="G181" s="3" t="n"/>
      <c r="H181" s="3" t="n"/>
      <c r="I181" s="2" t="n"/>
      <c r="J181" s="2">
        <f>IF(A181="","",IF(I181&lt;&gt;"","Antwort bearbeiten",IF(G181&lt;&gt;"",IF(TODAY()&gt;=WORKDAY(G181,7),"Als Keine Antwort abschließen","Warten auf Antwort"),IF(E181&lt;&gt;"",IF(TODAY()&gt;=F181,"Follow-up schreiben!","Warten bis Follow-up-Datum"),IF(D181="Versandbereit","Erstmail senden","Konzept fertigstellen")))))</f>
        <v/>
      </c>
      <c r="K181" s="2" t="n"/>
      <c r="L181" s="2" t="n"/>
    </row>
    <row r="182">
      <c r="A182" s="2" t="n"/>
      <c r="B182" s="2" t="n"/>
      <c r="C182" s="2" t="n"/>
      <c r="D182" s="2" t="n"/>
      <c r="E182" s="3" t="n"/>
      <c r="F182" s="3">
        <f>IF(OR(E182="",G182&lt;&gt;"",H182&lt;&gt;""),"",WORKDAY(E182,5))</f>
        <v/>
      </c>
      <c r="G182" s="3" t="n"/>
      <c r="H182" s="3" t="n"/>
      <c r="I182" s="2" t="n"/>
      <c r="J182" s="2">
        <f>IF(A182="","",IF(I182&lt;&gt;"","Antwort bearbeiten",IF(G182&lt;&gt;"",IF(TODAY()&gt;=WORKDAY(G182,7),"Als Keine Antwort abschließen","Warten auf Antwort"),IF(E182&lt;&gt;"",IF(TODAY()&gt;=F182,"Follow-up schreiben!","Warten bis Follow-up-Datum"),IF(D182="Versandbereit","Erstmail senden","Konzept fertigstellen")))))</f>
        <v/>
      </c>
      <c r="K182" s="2" t="n"/>
      <c r="L182" s="2" t="n"/>
    </row>
    <row r="183">
      <c r="A183" s="2" t="n"/>
      <c r="B183" s="2" t="n"/>
      <c r="C183" s="2" t="n"/>
      <c r="D183" s="2" t="n"/>
      <c r="E183" s="3" t="n"/>
      <c r="F183" s="3">
        <f>IF(OR(E183="",G183&lt;&gt;"",H183&lt;&gt;""),"",WORKDAY(E183,5))</f>
        <v/>
      </c>
      <c r="G183" s="3" t="n"/>
      <c r="H183" s="3" t="n"/>
      <c r="I183" s="2" t="n"/>
      <c r="J183" s="2">
        <f>IF(A183="","",IF(I183&lt;&gt;"","Antwort bearbeiten",IF(G183&lt;&gt;"",IF(TODAY()&gt;=WORKDAY(G183,7),"Als Keine Antwort abschließen","Warten auf Antwort"),IF(E183&lt;&gt;"",IF(TODAY()&gt;=F183,"Follow-up schreiben!","Warten bis Follow-up-Datum"),IF(D183="Versandbereit","Erstmail senden","Konzept fertigstellen")))))</f>
        <v/>
      </c>
      <c r="K183" s="2" t="n"/>
      <c r="L183" s="2" t="n"/>
    </row>
    <row r="184">
      <c r="A184" s="2" t="n"/>
      <c r="B184" s="2" t="n"/>
      <c r="C184" s="2" t="n"/>
      <c r="D184" s="2" t="n"/>
      <c r="E184" s="3" t="n"/>
      <c r="F184" s="3">
        <f>IF(OR(E184="",G184&lt;&gt;"",H184&lt;&gt;""),"",WORKDAY(E184,5))</f>
        <v/>
      </c>
      <c r="G184" s="3" t="n"/>
      <c r="H184" s="3" t="n"/>
      <c r="I184" s="2" t="n"/>
      <c r="J184" s="2">
        <f>IF(A184="","",IF(I184&lt;&gt;"","Antwort bearbeiten",IF(G184&lt;&gt;"",IF(TODAY()&gt;=WORKDAY(G184,7),"Als Keine Antwort abschließen","Warten auf Antwort"),IF(E184&lt;&gt;"",IF(TODAY()&gt;=F184,"Follow-up schreiben!","Warten bis Follow-up-Datum"),IF(D184="Versandbereit","Erstmail senden","Konzept fertigstellen")))))</f>
        <v/>
      </c>
      <c r="K184" s="2" t="n"/>
      <c r="L184" s="2" t="n"/>
    </row>
    <row r="185">
      <c r="A185" s="2" t="n"/>
      <c r="B185" s="2" t="n"/>
      <c r="C185" s="2" t="n"/>
      <c r="D185" s="2" t="n"/>
      <c r="E185" s="3" t="n"/>
      <c r="F185" s="3">
        <f>IF(OR(E185="",G185&lt;&gt;"",H185&lt;&gt;""),"",WORKDAY(E185,5))</f>
        <v/>
      </c>
      <c r="G185" s="3" t="n"/>
      <c r="H185" s="3" t="n"/>
      <c r="I185" s="2" t="n"/>
      <c r="J185" s="2">
        <f>IF(A185="","",IF(I185&lt;&gt;"","Antwort bearbeiten",IF(G185&lt;&gt;"",IF(TODAY()&gt;=WORKDAY(G185,7),"Als Keine Antwort abschließen","Warten auf Antwort"),IF(E185&lt;&gt;"",IF(TODAY()&gt;=F185,"Follow-up schreiben!","Warten bis Follow-up-Datum"),IF(D185="Versandbereit","Erstmail senden","Konzept fertigstellen")))))</f>
        <v/>
      </c>
      <c r="K185" s="2" t="n"/>
      <c r="L185" s="2" t="n"/>
    </row>
    <row r="186">
      <c r="A186" s="2" t="n"/>
      <c r="B186" s="2" t="n"/>
      <c r="C186" s="2" t="n"/>
      <c r="D186" s="2" t="n"/>
      <c r="E186" s="3" t="n"/>
      <c r="F186" s="3">
        <f>IF(OR(E186="",G186&lt;&gt;"",H186&lt;&gt;""),"",WORKDAY(E186,5))</f>
        <v/>
      </c>
      <c r="G186" s="3" t="n"/>
      <c r="H186" s="3" t="n"/>
      <c r="I186" s="2" t="n"/>
      <c r="J186" s="2">
        <f>IF(A186="","",IF(I186&lt;&gt;"","Antwort bearbeiten",IF(G186&lt;&gt;"",IF(TODAY()&gt;=WORKDAY(G186,7),"Als Keine Antwort abschließen","Warten auf Antwort"),IF(E186&lt;&gt;"",IF(TODAY()&gt;=F186,"Follow-up schreiben!","Warten bis Follow-up-Datum"),IF(D186="Versandbereit","Erstmail senden","Konzept fertigstellen")))))</f>
        <v/>
      </c>
      <c r="K186" s="2" t="n"/>
      <c r="L186" s="2" t="n"/>
    </row>
    <row r="187">
      <c r="A187" s="2" t="n"/>
      <c r="B187" s="2" t="n"/>
      <c r="C187" s="2" t="n"/>
      <c r="D187" s="2" t="n"/>
      <c r="E187" s="3" t="n"/>
      <c r="F187" s="3">
        <f>IF(OR(E187="",G187&lt;&gt;"",H187&lt;&gt;""),"",WORKDAY(E187,5))</f>
        <v/>
      </c>
      <c r="G187" s="3" t="n"/>
      <c r="H187" s="3" t="n"/>
      <c r="I187" s="2" t="n"/>
      <c r="J187" s="2">
        <f>IF(A187="","",IF(I187&lt;&gt;"","Antwort bearbeiten",IF(G187&lt;&gt;"",IF(TODAY()&gt;=WORKDAY(G187,7),"Als Keine Antwort abschließen","Warten auf Antwort"),IF(E187&lt;&gt;"",IF(TODAY()&gt;=F187,"Follow-up schreiben!","Warten bis Follow-up-Datum"),IF(D187="Versandbereit","Erstmail senden","Konzept fertigstellen")))))</f>
        <v/>
      </c>
      <c r="K187" s="2" t="n"/>
      <c r="L187" s="2" t="n"/>
    </row>
    <row r="188">
      <c r="A188" s="2" t="n"/>
      <c r="B188" s="2" t="n"/>
      <c r="C188" s="2" t="n"/>
      <c r="D188" s="2" t="n"/>
      <c r="E188" s="3" t="n"/>
      <c r="F188" s="3">
        <f>IF(OR(E188="",G188&lt;&gt;"",H188&lt;&gt;""),"",WORKDAY(E188,5))</f>
        <v/>
      </c>
      <c r="G188" s="3" t="n"/>
      <c r="H188" s="3" t="n"/>
      <c r="I188" s="2" t="n"/>
      <c r="J188" s="2">
        <f>IF(A188="","",IF(I188&lt;&gt;"","Antwort bearbeiten",IF(G188&lt;&gt;"",IF(TODAY()&gt;=WORKDAY(G188,7),"Als Keine Antwort abschließen","Warten auf Antwort"),IF(E188&lt;&gt;"",IF(TODAY()&gt;=F188,"Follow-up schreiben!","Warten bis Follow-up-Datum"),IF(D188="Versandbereit","Erstmail senden","Konzept fertigstellen")))))</f>
        <v/>
      </c>
      <c r="K188" s="2" t="n"/>
      <c r="L188" s="2" t="n"/>
    </row>
    <row r="189">
      <c r="A189" s="2" t="n"/>
      <c r="B189" s="2" t="n"/>
      <c r="C189" s="2" t="n"/>
      <c r="D189" s="2" t="n"/>
      <c r="E189" s="3" t="n"/>
      <c r="F189" s="3">
        <f>IF(OR(E189="",G189&lt;&gt;"",H189&lt;&gt;""),"",WORKDAY(E189,5))</f>
        <v/>
      </c>
      <c r="G189" s="3" t="n"/>
      <c r="H189" s="3" t="n"/>
      <c r="I189" s="2" t="n"/>
      <c r="J189" s="2">
        <f>IF(A189="","",IF(I189&lt;&gt;"","Antwort bearbeiten",IF(G189&lt;&gt;"",IF(TODAY()&gt;=WORKDAY(G189,7),"Als Keine Antwort abschließen","Warten auf Antwort"),IF(E189&lt;&gt;"",IF(TODAY()&gt;=F189,"Follow-up schreiben!","Warten bis Follow-up-Datum"),IF(D189="Versandbereit","Erstmail senden","Konzept fertigstellen")))))</f>
        <v/>
      </c>
      <c r="K189" s="2" t="n"/>
      <c r="L189" s="2" t="n"/>
    </row>
    <row r="190">
      <c r="A190" s="2" t="n"/>
      <c r="B190" s="2" t="n"/>
      <c r="C190" s="2" t="n"/>
      <c r="D190" s="2" t="n"/>
      <c r="E190" s="3" t="n"/>
      <c r="F190" s="3">
        <f>IF(OR(E190="",G190&lt;&gt;"",H190&lt;&gt;""),"",WORKDAY(E190,5))</f>
        <v/>
      </c>
      <c r="G190" s="3" t="n"/>
      <c r="H190" s="3" t="n"/>
      <c r="I190" s="2" t="n"/>
      <c r="J190" s="2">
        <f>IF(A190="","",IF(I190&lt;&gt;"","Antwort bearbeiten",IF(G190&lt;&gt;"",IF(TODAY()&gt;=WORKDAY(G190,7),"Als Keine Antwort abschließen","Warten auf Antwort"),IF(E190&lt;&gt;"",IF(TODAY()&gt;=F190,"Follow-up schreiben!","Warten bis Follow-up-Datum"),IF(D190="Versandbereit","Erstmail senden","Konzept fertigstellen")))))</f>
        <v/>
      </c>
      <c r="K190" s="2" t="n"/>
      <c r="L190" s="2" t="n"/>
    </row>
    <row r="191">
      <c r="A191" s="2" t="n"/>
      <c r="B191" s="2" t="n"/>
      <c r="C191" s="2" t="n"/>
      <c r="D191" s="2" t="n"/>
      <c r="E191" s="3" t="n"/>
      <c r="F191" s="3">
        <f>IF(OR(E191="",G191&lt;&gt;"",H191&lt;&gt;""),"",WORKDAY(E191,5))</f>
        <v/>
      </c>
      <c r="G191" s="3" t="n"/>
      <c r="H191" s="3" t="n"/>
      <c r="I191" s="2" t="n"/>
      <c r="J191" s="2">
        <f>IF(A191="","",IF(I191&lt;&gt;"","Antwort bearbeiten",IF(G191&lt;&gt;"",IF(TODAY()&gt;=WORKDAY(G191,7),"Als Keine Antwort abschließen","Warten auf Antwort"),IF(E191&lt;&gt;"",IF(TODAY()&gt;=F191,"Follow-up schreiben!","Warten bis Follow-up-Datum"),IF(D191="Versandbereit","Erstmail senden","Konzept fertigstellen")))))</f>
        <v/>
      </c>
      <c r="K191" s="2" t="n"/>
      <c r="L191" s="2" t="n"/>
    </row>
    <row r="192">
      <c r="A192" s="2" t="n"/>
      <c r="B192" s="2" t="n"/>
      <c r="C192" s="2" t="n"/>
      <c r="D192" s="2" t="n"/>
      <c r="E192" s="3" t="n"/>
      <c r="F192" s="3">
        <f>IF(OR(E192="",G192&lt;&gt;"",H192&lt;&gt;""),"",WORKDAY(E192,5))</f>
        <v/>
      </c>
      <c r="G192" s="3" t="n"/>
      <c r="H192" s="3" t="n"/>
      <c r="I192" s="2" t="n"/>
      <c r="J192" s="2">
        <f>IF(A192="","",IF(I192&lt;&gt;"","Antwort bearbeiten",IF(G192&lt;&gt;"",IF(TODAY()&gt;=WORKDAY(G192,7),"Als Keine Antwort abschließen","Warten auf Antwort"),IF(E192&lt;&gt;"",IF(TODAY()&gt;=F192,"Follow-up schreiben!","Warten bis Follow-up-Datum"),IF(D192="Versandbereit","Erstmail senden","Konzept fertigstellen")))))</f>
        <v/>
      </c>
      <c r="K192" s="2" t="n"/>
      <c r="L192" s="2" t="n"/>
    </row>
    <row r="193">
      <c r="A193" s="2" t="n"/>
      <c r="B193" s="2" t="n"/>
      <c r="C193" s="2" t="n"/>
      <c r="D193" s="2" t="n"/>
      <c r="E193" s="3" t="n"/>
      <c r="F193" s="3">
        <f>IF(OR(E193="",G193&lt;&gt;"",H193&lt;&gt;""),"",WORKDAY(E193,5))</f>
        <v/>
      </c>
      <c r="G193" s="3" t="n"/>
      <c r="H193" s="3" t="n"/>
      <c r="I193" s="2" t="n"/>
      <c r="J193" s="2">
        <f>IF(A193="","",IF(I193&lt;&gt;"","Antwort bearbeiten",IF(G193&lt;&gt;"",IF(TODAY()&gt;=WORKDAY(G193,7),"Als Keine Antwort abschließen","Warten auf Antwort"),IF(E193&lt;&gt;"",IF(TODAY()&gt;=F193,"Follow-up schreiben!","Warten bis Follow-up-Datum"),IF(D193="Versandbereit","Erstmail senden","Konzept fertigstellen")))))</f>
        <v/>
      </c>
      <c r="K193" s="2" t="n"/>
      <c r="L193" s="2" t="n"/>
    </row>
    <row r="194">
      <c r="A194" s="2" t="n"/>
      <c r="B194" s="2" t="n"/>
      <c r="C194" s="2" t="n"/>
      <c r="D194" s="2" t="n"/>
      <c r="E194" s="3" t="n"/>
      <c r="F194" s="3">
        <f>IF(OR(E194="",G194&lt;&gt;"",H194&lt;&gt;""),"",WORKDAY(E194,5))</f>
        <v/>
      </c>
      <c r="G194" s="3" t="n"/>
      <c r="H194" s="3" t="n"/>
      <c r="I194" s="2" t="n"/>
      <c r="J194" s="2">
        <f>IF(A194="","",IF(I194&lt;&gt;"","Antwort bearbeiten",IF(G194&lt;&gt;"",IF(TODAY()&gt;=WORKDAY(G194,7),"Als Keine Antwort abschließen","Warten auf Antwort"),IF(E194&lt;&gt;"",IF(TODAY()&gt;=F194,"Follow-up schreiben!","Warten bis Follow-up-Datum"),IF(D194="Versandbereit","Erstmail senden","Konzept fertigstellen")))))</f>
        <v/>
      </c>
      <c r="K194" s="2" t="n"/>
      <c r="L194" s="2" t="n"/>
    </row>
    <row r="195">
      <c r="A195" s="2" t="n"/>
      <c r="B195" s="2" t="n"/>
      <c r="C195" s="2" t="n"/>
      <c r="D195" s="2" t="n"/>
      <c r="E195" s="3" t="n"/>
      <c r="F195" s="3">
        <f>IF(OR(E195="",G195&lt;&gt;"",H195&lt;&gt;""),"",WORKDAY(E195,5))</f>
        <v/>
      </c>
      <c r="G195" s="3" t="n"/>
      <c r="H195" s="3" t="n"/>
      <c r="I195" s="2" t="n"/>
      <c r="J195" s="2">
        <f>IF(A195="","",IF(I195&lt;&gt;"","Antwort bearbeiten",IF(G195&lt;&gt;"",IF(TODAY()&gt;=WORKDAY(G195,7),"Als Keine Antwort abschließen","Warten auf Antwort"),IF(E195&lt;&gt;"",IF(TODAY()&gt;=F195,"Follow-up schreiben!","Warten bis Follow-up-Datum"),IF(D195="Versandbereit","Erstmail senden","Konzept fertigstellen")))))</f>
        <v/>
      </c>
      <c r="K195" s="2" t="n"/>
      <c r="L195" s="2" t="n"/>
    </row>
    <row r="196">
      <c r="A196" s="2" t="n"/>
      <c r="B196" s="2" t="n"/>
      <c r="C196" s="2" t="n"/>
      <c r="D196" s="2" t="n"/>
      <c r="E196" s="3" t="n"/>
      <c r="F196" s="3">
        <f>IF(OR(E196="",G196&lt;&gt;"",H196&lt;&gt;""),"",WORKDAY(E196,5))</f>
        <v/>
      </c>
      <c r="G196" s="3" t="n"/>
      <c r="H196" s="3" t="n"/>
      <c r="I196" s="2" t="n"/>
      <c r="J196" s="2">
        <f>IF(A196="","",IF(I196&lt;&gt;"","Antwort bearbeiten",IF(G196&lt;&gt;"",IF(TODAY()&gt;=WORKDAY(G196,7),"Als Keine Antwort abschließen","Warten auf Antwort"),IF(E196&lt;&gt;"",IF(TODAY()&gt;=F196,"Follow-up schreiben!","Warten bis Follow-up-Datum"),IF(D196="Versandbereit","Erstmail senden","Konzept fertigstellen")))))</f>
        <v/>
      </c>
      <c r="K196" s="2" t="n"/>
      <c r="L196" s="2" t="n"/>
    </row>
    <row r="197">
      <c r="A197" s="2" t="n"/>
      <c r="B197" s="2" t="n"/>
      <c r="C197" s="2" t="n"/>
      <c r="D197" s="2" t="n"/>
      <c r="E197" s="3" t="n"/>
      <c r="F197" s="3">
        <f>IF(OR(E197="",G197&lt;&gt;"",H197&lt;&gt;""),"",WORKDAY(E197,5))</f>
        <v/>
      </c>
      <c r="G197" s="3" t="n"/>
      <c r="H197" s="3" t="n"/>
      <c r="I197" s="2" t="n"/>
      <c r="J197" s="2">
        <f>IF(A197="","",IF(I197&lt;&gt;"","Antwort bearbeiten",IF(G197&lt;&gt;"",IF(TODAY()&gt;=WORKDAY(G197,7),"Als Keine Antwort abschließen","Warten auf Antwort"),IF(E197&lt;&gt;"",IF(TODAY()&gt;=F197,"Follow-up schreiben!","Warten bis Follow-up-Datum"),IF(D197="Versandbereit","Erstmail senden","Konzept fertigstellen")))))</f>
        <v/>
      </c>
      <c r="K197" s="2" t="n"/>
      <c r="L197" s="2" t="n"/>
    </row>
    <row r="198">
      <c r="A198" s="2" t="n"/>
      <c r="B198" s="2" t="n"/>
      <c r="C198" s="2" t="n"/>
      <c r="D198" s="2" t="n"/>
      <c r="E198" s="3" t="n"/>
      <c r="F198" s="3">
        <f>IF(OR(E198="",G198&lt;&gt;"",H198&lt;&gt;""),"",WORKDAY(E198,5))</f>
        <v/>
      </c>
      <c r="G198" s="3" t="n"/>
      <c r="H198" s="3" t="n"/>
      <c r="I198" s="2" t="n"/>
      <c r="J198" s="2">
        <f>IF(A198="","",IF(I198&lt;&gt;"","Antwort bearbeiten",IF(G198&lt;&gt;"",IF(TODAY()&gt;=WORKDAY(G198,7),"Als Keine Antwort abschließen","Warten auf Antwort"),IF(E198&lt;&gt;"",IF(TODAY()&gt;=F198,"Follow-up schreiben!","Warten bis Follow-up-Datum"),IF(D198="Versandbereit","Erstmail senden","Konzept fertigstellen")))))</f>
        <v/>
      </c>
      <c r="K198" s="2" t="n"/>
      <c r="L198" s="2" t="n"/>
    </row>
    <row r="199">
      <c r="A199" s="2" t="n"/>
      <c r="B199" s="2" t="n"/>
      <c r="C199" s="2" t="n"/>
      <c r="D199" s="2" t="n"/>
      <c r="E199" s="3" t="n"/>
      <c r="F199" s="3">
        <f>IF(OR(E199="",G199&lt;&gt;"",H199&lt;&gt;""),"",WORKDAY(E199,5))</f>
        <v/>
      </c>
      <c r="G199" s="3" t="n"/>
      <c r="H199" s="3" t="n"/>
      <c r="I199" s="2" t="n"/>
      <c r="J199" s="2">
        <f>IF(A199="","",IF(I199&lt;&gt;"","Antwort bearbeiten",IF(G199&lt;&gt;"",IF(TODAY()&gt;=WORKDAY(G199,7),"Als Keine Antwort abschließen","Warten auf Antwort"),IF(E199&lt;&gt;"",IF(TODAY()&gt;=F199,"Follow-up schreiben!","Warten bis Follow-up-Datum"),IF(D199="Versandbereit","Erstmail senden","Konzept fertigstellen")))))</f>
        <v/>
      </c>
      <c r="K199" s="2" t="n"/>
      <c r="L199" s="2" t="n"/>
    </row>
    <row r="200">
      <c r="A200" s="2" t="n"/>
      <c r="B200" s="2" t="n"/>
      <c r="C200" s="2" t="n"/>
      <c r="D200" s="2" t="n"/>
      <c r="E200" s="3" t="n"/>
      <c r="F200" s="3">
        <f>IF(OR(E200="",G200&lt;&gt;"",H200&lt;&gt;""),"",WORKDAY(E200,5))</f>
        <v/>
      </c>
      <c r="G200" s="3" t="n"/>
      <c r="H200" s="3" t="n"/>
      <c r="I200" s="2" t="n"/>
      <c r="J200" s="2">
        <f>IF(A200="","",IF(I200&lt;&gt;"","Antwort bearbeiten",IF(G200&lt;&gt;"",IF(TODAY()&gt;=WORKDAY(G200,7),"Als Keine Antwort abschließen","Warten auf Antwort"),IF(E200&lt;&gt;"",IF(TODAY()&gt;=F200,"Follow-up schreiben!","Warten bis Follow-up-Datum"),IF(D200="Versandbereit","Erstmail senden","Konzept fertigstellen")))))</f>
        <v/>
      </c>
      <c r="K200" s="2" t="n"/>
      <c r="L200" s="2" t="n"/>
    </row>
  </sheetData>
  <autoFilter ref="A1:L200"/>
  <conditionalFormatting sqref="F2:F200">
    <cfRule type="expression" priority="1" dxfId="0">
      <formula>AND(ISNUMBER(F2),F2&lt;=TODAY())</formula>
    </cfRule>
  </conditionalFormatting>
  <conditionalFormatting sqref="J2:J200">
    <cfRule type="expression" priority="2" dxfId="1">
      <formula>OR(J2="Follow-up schreiben!",J2="Erstmail senden")</formula>
    </cfRule>
  </conditionalFormatting>
  <conditionalFormatting sqref="D2:D200">
    <cfRule type="expression" priority="3" dxfId="2">
      <formula>$D2="Kunde"</formula>
    </cfRule>
    <cfRule type="expression" priority="4" dxfId="3">
      <formula>$D2="Antwort erhalten"</formula>
    </cfRule>
    <cfRule type="expression" priority="5" dxfId="4">
      <formula>$D2="Kein Interesse"</formula>
    </cfRule>
    <cfRule type="expression" priority="6" dxfId="5">
      <formula>$D2="Keine Antwort"</formula>
    </cfRule>
    <cfRule type="expression" priority="7" dxfId="6">
      <formula>$D2="Abgeschickt"</formula>
    </cfRule>
    <cfRule type="expression" priority="8" dxfId="7">
      <formula>$D2="Follow-up gesendet"</formula>
    </cfRule>
    <cfRule type="expression" priority="9" dxfId="8">
      <formula>$D2="Versandbereit"</formula>
    </cfRule>
    <cfRule type="expression" priority="10" dxfId="9">
      <formula>$D2="In Bearbeitung"</formula>
    </cfRule>
  </conditionalFormatting>
  <dataValidations count="3">
    <dataValidation sqref="D2:D200" showDropDown="0" showInputMessage="0" showErrorMessage="0" allowBlank="1" type="list">
      <formula1>"In Bearbeitung,Versandbereit,Abgeschickt,Follow-up gesendet,Antwort erhalten,Keine Antwort,Kein Interesse,Kunde"</formula1>
    </dataValidation>
    <dataValidation sqref="I2:I200" showDropDown="0" showInputMessage="0" showErrorMessage="0" allowBlank="1" type="list">
      <formula1>"Interessiert,Rückfrage,Kein Interesse"</formula1>
    </dataValidation>
    <dataValidation sqref="E2:E200 G2:H200" showDropDown="0" showInputMessage="0" showErrorMessage="0" allowBlank="1" error="Bitte ein Datum eingeben, z. B. 14.10.2026" type="date" operator="greaterThan">
      <formula1>45000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</cols>
  <sheetData>
    <row r="1">
      <c r="A1" s="4" t="inlineStr">
        <is>
          <t>Akquise-Übersicht</t>
        </is>
      </c>
    </row>
    <row r="2">
      <c r="A2" s="5" t="inlineStr">
        <is>
          <t>Rechnet sich aus dem Blatt „Tracker“. Hier nichts eintragen.</t>
        </is>
      </c>
    </row>
    <row r="4">
      <c r="A4" s="6" t="inlineStr">
        <is>
          <t>Firmen im Tracker</t>
        </is>
      </c>
      <c r="B4">
        <f>COUNTA(Tracker!$A$2:$A$200)</f>
        <v/>
      </c>
    </row>
    <row r="5">
      <c r="A5" s="6" t="inlineStr">
        <is>
          <t>Erstmails gesendet</t>
        </is>
      </c>
      <c r="B5">
        <f>COUNT(Tracker!$E$2:$E$200)</f>
        <v/>
      </c>
    </row>
    <row r="6">
      <c r="A6" s="6" t="inlineStr">
        <is>
          <t>Follow-ups gesendet</t>
        </is>
      </c>
      <c r="B6">
        <f>COUNT(Tracker!$G$2:$G$200)</f>
        <v/>
      </c>
    </row>
    <row r="7">
      <c r="A7" s="6" t="inlineStr">
        <is>
          <t>Antworten</t>
        </is>
      </c>
      <c r="B7">
        <f>COUNTA(Tracker!$I$2:$I$200)</f>
        <v/>
      </c>
    </row>
    <row r="8">
      <c r="A8" s="6" t="inlineStr">
        <is>
          <t>Antwortquote</t>
        </is>
      </c>
      <c r="B8" s="7">
        <f>IFERROR(B7/B5,0)</f>
        <v/>
      </c>
    </row>
    <row r="9">
      <c r="A9" s="6" t="inlineStr">
        <is>
          <t>Follow-ups jetzt fällig</t>
        </is>
      </c>
      <c r="B9">
        <f>SUMPRODUCT(--ISNUMBER(Tracker!$F$2:$F$200),--(Tracker!$F$2:$F$200&lt;=TODAY()))</f>
        <v/>
      </c>
    </row>
    <row r="11">
      <c r="A11" s="8" t="inlineStr">
        <is>
          <t>Status</t>
        </is>
      </c>
      <c r="B11" s="8" t="inlineStr">
        <is>
          <t>Anzahl</t>
        </is>
      </c>
    </row>
    <row r="12">
      <c r="A12" t="inlineStr">
        <is>
          <t>In Bearbeitung</t>
        </is>
      </c>
      <c r="B12">
        <f>COUNTIF(Tracker!$D$2:$D$200,A12)</f>
        <v/>
      </c>
    </row>
    <row r="13">
      <c r="A13" t="inlineStr">
        <is>
          <t>Versandbereit</t>
        </is>
      </c>
      <c r="B13">
        <f>COUNTIF(Tracker!$D$2:$D$200,A13)</f>
        <v/>
      </c>
    </row>
    <row r="14">
      <c r="A14" t="inlineStr">
        <is>
          <t>Abgeschickt</t>
        </is>
      </c>
      <c r="B14">
        <f>COUNTIF(Tracker!$D$2:$D$200,A14)</f>
        <v/>
      </c>
    </row>
    <row r="15">
      <c r="A15" t="inlineStr">
        <is>
          <t>Follow-up gesendet</t>
        </is>
      </c>
      <c r="B15">
        <f>COUNTIF(Tracker!$D$2:$D$200,A15)</f>
        <v/>
      </c>
    </row>
    <row r="16">
      <c r="A16" t="inlineStr">
        <is>
          <t>Antwort erhalten</t>
        </is>
      </c>
      <c r="B16">
        <f>COUNTIF(Tracker!$D$2:$D$200,A16)</f>
        <v/>
      </c>
    </row>
    <row r="17">
      <c r="A17" t="inlineStr">
        <is>
          <t>Keine Antwort</t>
        </is>
      </c>
      <c r="B17">
        <f>COUNTIF(Tracker!$D$2:$D$200,A17)</f>
        <v/>
      </c>
    </row>
    <row r="18">
      <c r="A18" t="inlineStr">
        <is>
          <t>Kein Interesse</t>
        </is>
      </c>
      <c r="B18">
        <f>COUNTIF(Tracker!$D$2:$D$200,A18)</f>
        <v/>
      </c>
    </row>
    <row r="19">
      <c r="A19" t="inlineStr">
        <is>
          <t>Kunde</t>
        </is>
      </c>
      <c r="B19">
        <f>COUNTIF(Tracker!$D$2:$D$200,A19)</f>
        <v/>
      </c>
    </row>
    <row r="22">
      <c r="A22" s="8" t="inlineStr">
        <is>
          <t>Nische</t>
        </is>
      </c>
      <c r="B22" s="8" t="inlineStr">
        <is>
          <t>Gesendet</t>
        </is>
      </c>
      <c r="C22" s="8" t="inlineStr">
        <is>
          <t>Antworten</t>
        </is>
      </c>
      <c r="D22" s="8" t="inlineStr">
        <is>
          <t>Antwortquote</t>
        </is>
      </c>
    </row>
    <row r="23">
      <c r="A23" t="inlineStr">
        <is>
          <t>Architektur</t>
        </is>
      </c>
      <c r="B23">
        <f>COUNTIFS(Tracker!$B$2:$B$200,A23,Tracker!$E$2:$E$200,"&gt;0")</f>
        <v/>
      </c>
      <c r="C23">
        <f>COUNTIFS(Tracker!$B$2:$B$200,A23,Tracker!$I$2:$I$200,"&lt;&gt;")</f>
        <v/>
      </c>
      <c r="D23" s="7">
        <f>IFERROR(C23/B23,0)</f>
        <v/>
      </c>
    </row>
    <row r="24">
      <c r="A24" t="inlineStr">
        <is>
          <t>Baumpflege</t>
        </is>
      </c>
      <c r="B24">
        <f>COUNTIFS(Tracker!$B$2:$B$200,A24,Tracker!$E$2:$E$200,"&gt;0")</f>
        <v/>
      </c>
      <c r="C24">
        <f>COUNTIFS(Tracker!$B$2:$B$200,A24,Tracker!$I$2:$I$200,"&lt;&gt;")</f>
        <v/>
      </c>
      <c r="D24" s="7">
        <f>IFERROR(C24/B24,0)</f>
        <v/>
      </c>
    </row>
    <row r="25">
      <c r="A25" t="inlineStr">
        <is>
          <t>Dachdecker</t>
        </is>
      </c>
      <c r="B25">
        <f>COUNTIFS(Tracker!$B$2:$B$200,A25,Tracker!$E$2:$E$200,"&gt;0")</f>
        <v/>
      </c>
      <c r="C25">
        <f>COUNTIFS(Tracker!$B$2:$B$200,A25,Tracker!$I$2:$I$200,"&lt;&gt;")</f>
        <v/>
      </c>
      <c r="D25" s="7">
        <f>IFERROR(C25/B25,0)</f>
        <v/>
      </c>
    </row>
    <row r="26">
      <c r="A26" t="inlineStr">
        <is>
          <t>Elektriker</t>
        </is>
      </c>
      <c r="B26">
        <f>COUNTIFS(Tracker!$B$2:$B$200,A26,Tracker!$E$2:$E$200,"&gt;0")</f>
        <v/>
      </c>
      <c r="C26">
        <f>COUNTIFS(Tracker!$B$2:$B$200,A26,Tracker!$I$2:$I$200,"&lt;&gt;")</f>
        <v/>
      </c>
      <c r="D26" s="7">
        <f>IFERROR(C26/B26,0)</f>
        <v/>
      </c>
    </row>
    <row r="27">
      <c r="A27" t="inlineStr">
        <is>
          <t>Fundament</t>
        </is>
      </c>
      <c r="B27">
        <f>COUNTIFS(Tracker!$B$2:$B$200,A27,Tracker!$E$2:$E$200,"&gt;0")</f>
        <v/>
      </c>
      <c r="C27">
        <f>COUNTIFS(Tracker!$B$2:$B$200,A27,Tracker!$I$2:$I$200,"&lt;&gt;")</f>
        <v/>
      </c>
      <c r="D27" s="7">
        <f>IFERROR(C27/B27,0)</f>
        <v/>
      </c>
    </row>
    <row r="28">
      <c r="A28" t="inlineStr">
        <is>
          <t>Garagentore</t>
        </is>
      </c>
      <c r="B28">
        <f>COUNTIFS(Tracker!$B$2:$B$200,A28,Tracker!$E$2:$E$200,"&gt;0")</f>
        <v/>
      </c>
      <c r="C28">
        <f>COUNTIFS(Tracker!$B$2:$B$200,A28,Tracker!$I$2:$I$200,"&lt;&gt;")</f>
        <v/>
      </c>
      <c r="D28" s="7">
        <f>IFERROR(C28/B28,0)</f>
        <v/>
      </c>
    </row>
    <row r="29">
      <c r="A29" t="inlineStr">
        <is>
          <t>HVAC</t>
        </is>
      </c>
      <c r="B29">
        <f>COUNTIFS(Tracker!$B$2:$B$200,A29,Tracker!$E$2:$E$200,"&gt;0")</f>
        <v/>
      </c>
      <c r="C29">
        <f>COUNTIFS(Tracker!$B$2:$B$200,A29,Tracker!$I$2:$I$200,"&lt;&gt;")</f>
        <v/>
      </c>
      <c r="D29" s="7">
        <f>IFERROR(C29/B29,0)</f>
        <v/>
      </c>
    </row>
    <row r="30">
      <c r="A30" t="inlineStr">
        <is>
          <t>Klempner</t>
        </is>
      </c>
      <c r="B30">
        <f>COUNTIFS(Tracker!$B$2:$B$200,A30,Tracker!$E$2:$E$200,"&gt;0")</f>
        <v/>
      </c>
      <c r="C30">
        <f>COUNTIFS(Tracker!$B$2:$B$200,A30,Tracker!$I$2:$I$200,"&lt;&gt;")</f>
        <v/>
      </c>
      <c r="D30" s="7">
        <f>IFERROR(C30/B30,0)</f>
        <v/>
      </c>
    </row>
    <row r="31">
      <c r="A31" t="inlineStr">
        <is>
          <t>Pool</t>
        </is>
      </c>
      <c r="B31">
        <f>COUNTIFS(Tracker!$B$2:$B$200,A31,Tracker!$E$2:$E$200,"&gt;0")</f>
        <v/>
      </c>
      <c r="C31">
        <f>COUNTIFS(Tracker!$B$2:$B$200,A31,Tracker!$I$2:$I$200,"&lt;&gt;")</f>
        <v/>
      </c>
      <c r="D31" s="7">
        <f>IFERROR(C31/B31,0)</f>
        <v/>
      </c>
    </row>
    <row r="32">
      <c r="A32" t="inlineStr">
        <is>
          <t>Zaun &amp; Terrasse</t>
        </is>
      </c>
      <c r="B32">
        <f>COUNTIFS(Tracker!$B$2:$B$200,A32,Tracker!$E$2:$E$200,"&gt;0")</f>
        <v/>
      </c>
      <c r="C32">
        <f>COUNTIFS(Tracker!$B$2:$B$200,A32,Tracker!$I$2:$I$200,"&lt;&gt;")</f>
        <v/>
      </c>
      <c r="D32" s="7">
        <f>IFERROR(C32/B32,0)</f>
        <v/>
      </c>
    </row>
    <row r="35">
      <c r="A35" s="9" t="inlineStr">
        <is>
          <t>So benutzt du den Tracker</t>
        </is>
      </c>
    </row>
    <row r="36">
      <c r="A36" s="10" t="inlineStr">
        <is>
          <t>1. Mail verschickt: Datum in „Erstmail am“ eintragen, Status auf „Abgeschickt“. „Follow-up fällig“ rechnet sich selbst (5 Werktage später) und wird rot, sobald es fällig ist.</t>
        </is>
      </c>
    </row>
    <row r="37">
      <c r="A37" s="10" t="inlineStr">
        <is>
          <t>2. Follow-up verschickt: Datum in „Follow-up gesendet am“, Status auf „Follow-up gesendet“. Kommt 7 Werktage danach nichts, schlägt „Nächster Schritt“ vor, den Lead als „Keine Antwort“ abzuschließen.</t>
        </is>
      </c>
    </row>
    <row r="38">
      <c r="A38" s="10" t="inlineStr">
        <is>
          <t>3. Antwort da: Datum in „Antwort am“, Art in „Antwort“ (Interessiert, Rückfrage, Kein Interesse), Status anpassen. Bei „no thanks“ sofort stoppen.</t>
        </is>
      </c>
    </row>
    <row r="39">
      <c r="A39" s="10" t="inlineStr">
        <is>
          <t>4. Neue Leads einfach unten anhängen: Formeln und Auswahllisten gehen bis Zeile 200.</t>
        </is>
      </c>
    </row>
    <row r="40">
      <c r="A40" s="10" t="inlineStr">
        <is>
          <t>Stand der Versanddaten: Gesendet-Ordner von hello@northframesites.com am 09.10.2026, bis dahin keine Antworten im Postfach.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2026-10-09T06:25:07Z</dcterms:created>
  <dcterms:modified xmlns:dcterms="http://purl.org/dc/terms/" xmlns:xsi="http://www.w3.org/2001/XMLSchema-instance" xsi:type="dcterms:W3CDTF">2026-10-11T06:34:30Z</dcterms:modified>
</cp:coreProperties>
</file>